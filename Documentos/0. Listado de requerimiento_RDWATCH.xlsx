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8.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os técnicos" sheetId="1" r:id="rId4"/>
    <sheet state="visible" name="No funcionales generales BE" sheetId="2" r:id="rId5"/>
    <sheet state="visible" name="Funcionales generales FE" sheetId="3" r:id="rId6"/>
    <sheet state="visible" name="RF Landing Comercio" sheetId="4" r:id="rId7"/>
    <sheet state="visible" name="No funcionales generales FE" sheetId="5" r:id="rId8"/>
    <sheet state="visible" name="RF PANELADMIN" sheetId="6" r:id="rId9"/>
    <sheet state="visible" name="RF PANEL USER" sheetId="7" r:id="rId10"/>
    <sheet state="visible" name="Funcionales PRODUCTOS E INVENTA" sheetId="8" r:id="rId11"/>
    <sheet state="visible" name="RF ORDENES Y PAGOS" sheetId="9" r:id="rId12"/>
    <sheet state="visible" name="RF BANNER COOKIES" sheetId="10" r:id="rId13"/>
    <sheet state="visible" name="RF SOPORTE Y ASPECTOS LEGALES" sheetId="11" r:id="rId14"/>
    <sheet state="visible" name="Funcionales Carrito BE" sheetId="12" r:id="rId15"/>
    <sheet state="visible" name="RF CLIENTES Y USUARIOS" sheetId="13" r:id="rId16"/>
    <sheet state="visible" name="R COLORES" sheetId="14" r:id="rId17"/>
  </sheets>
  <externalReferences>
    <externalReference r:id="rId18"/>
    <externalReference r:id="rId19"/>
    <externalReference r:id="rId20"/>
    <externalReference r:id="rId21"/>
    <externalReference r:id="rId22"/>
    <externalReference r:id="rId23"/>
    <externalReference r:id="rId24"/>
    <externalReference r:id="rId25"/>
  </externalReferences>
  <definedNames/>
  <calcPr/>
  <extLst>
    <ext uri="GoogleSheetsCustomDataVersion2">
      <go:sheetsCustomData xmlns:go="http://customooxmlschemas.google.com/" r:id="rId26" roundtripDataChecksum="t+HKD+wuU2py3HPRXjZb//DX49yYrEnQFvu7CiyL4dw="/>
    </ext>
  </extLst>
</workbook>
</file>

<file path=xl/sharedStrings.xml><?xml version="1.0" encoding="utf-8"?>
<sst xmlns="http://schemas.openxmlformats.org/spreadsheetml/2006/main" count="2054" uniqueCount="922">
  <si>
    <t>PALABRA</t>
  </si>
  <si>
    <t xml:space="preserve">CONCEPTO TÉCNICO </t>
  </si>
  <si>
    <t>ORGANIZACIÓN DE LIBROS</t>
  </si>
  <si>
    <t>HTML</t>
  </si>
  <si>
    <t>El Lenguaje de Marcado de Hipertexto (HTML) es el código que se utiliza para estructurar y desplegar una página web y sus contenidos. Por ejemplo, sus contenidos podrían ser párrafos, una lista con viñetas, o imágenes y tablas de datos.</t>
  </si>
  <si>
    <t>BACKEND</t>
  </si>
  <si>
    <t>GENERALES</t>
  </si>
  <si>
    <t>FUNCIONALES</t>
  </si>
  <si>
    <t>Funcionales generales BE</t>
  </si>
  <si>
    <t>ESTADISTICAS</t>
  </si>
  <si>
    <t>CSS</t>
  </si>
  <si>
    <t>Hojas de Estilo en Cascada (del inglés Cascading Style Sheets) o CSS es el lenguaje de estilos utilizado para describir la presentación de documentos HTML o XML (en-US) (incluyendo varios lenguajes basados en XML como SVG, MathML o XHTML).</t>
  </si>
  <si>
    <t>NO FUNCIONALES</t>
  </si>
  <si>
    <t>No funcionales generales BE</t>
  </si>
  <si>
    <t>Requerimientos</t>
  </si>
  <si>
    <t>Funcionales</t>
  </si>
  <si>
    <t>JavaScript</t>
  </si>
  <si>
    <t>JavaScript es un lenguaje de programación o de secuencias de comandos que te permite implementar funciones complejas en páginas web, cada vez que una página web hace algo más que sentarse allí y mostrar información estática para que la veas, muestra oportunas actualizaciones de contenido, mapas interactivos, animación de Gráficos 2D/3D, desplazamiento de máquinas reproductoras de vídeo, etc., puedes apostar que probablemente JavaScript está involucrado.</t>
  </si>
  <si>
    <t>HOME</t>
  </si>
  <si>
    <t>Funcionales Home BE</t>
  </si>
  <si>
    <t>No Funcionales</t>
  </si>
  <si>
    <t>VISTA</t>
  </si>
  <si>
    <t>En el desarrollo web, una vista puede ser una página web, pero también puede ser cualquier tipo de componente de la interfaz de usuario, como un encabezado, un pie de página, un formulario, etc.</t>
  </si>
  <si>
    <t>No funcionales Home BE</t>
  </si>
  <si>
    <t>TOTALES</t>
  </si>
  <si>
    <t>React</t>
  </si>
  <si>
    <r>
      <rPr>
        <rFont val="Calibri"/>
        <color rgb="FF474747"/>
        <sz val="11.0"/>
      </rPr>
      <t>Es una </t>
    </r>
    <r>
      <rPr>
        <rFont val="Calibri"/>
        <color rgb="FF040C28"/>
        <sz val="11.0"/>
      </rPr>
      <t>biblioteca Javascript de código abierto diseñada para crear interfaces de usuario con el objetivo de facilitar el desarrollo de aplicaciones en una sola página</t>
    </r>
    <r>
      <rPr>
        <rFont val="Calibri"/>
        <color rgb="FF474747"/>
        <sz val="11.0"/>
      </rPr>
      <t>. </t>
    </r>
  </si>
  <si>
    <t>SHOP</t>
  </si>
  <si>
    <t>Funcionales Shop BE</t>
  </si>
  <si>
    <t>Cumplidos</t>
  </si>
  <si>
    <t>TypeScript</t>
  </si>
  <si>
    <r>
      <rPr>
        <rFont val="Calibri"/>
        <color rgb="FF1F1F1F"/>
        <sz val="11.0"/>
      </rPr>
      <t>Es un </t>
    </r>
    <r>
      <rPr>
        <rFont val="Calibri"/>
        <color rgb="FF000000"/>
        <sz val="11.0"/>
      </rPr>
      <t>lenguaje de programación de código abierto, creado por Microsoft, que se basa en JavaScript y añade tipos estáticos y otras características para mejorar la seguridad y la escalabilidad en el desarrollo web y de aplicaciones</t>
    </r>
    <r>
      <rPr>
        <rFont val="Calibri"/>
        <color rgb="FF1F1F1F"/>
        <sz val="11.0"/>
      </rPr>
      <t>.</t>
    </r>
  </si>
  <si>
    <t>No funcionales Shop BE</t>
  </si>
  <si>
    <t>No cumplidos</t>
  </si>
  <si>
    <t>Nextjs</t>
  </si>
  <si>
    <r>
      <rPr>
        <rFont val="Calibri"/>
        <color rgb="FF040C28"/>
        <sz val="11.0"/>
      </rPr>
      <t>Es un framework JavaScript ligero y de código abierto creado sobre React, que permite desarrollar aplicaciones y sitios web muy rápidos y fáciles de usar</t>
    </r>
    <r>
      <rPr>
        <rFont val="Calibri"/>
        <color rgb="FF474747"/>
        <sz val="11.0"/>
      </rPr>
      <t>.</t>
    </r>
  </si>
  <si>
    <t>PRODUCTO</t>
  </si>
  <si>
    <t>Funcionales Producto BE</t>
  </si>
  <si>
    <t>Porcentaje de cumplimiento</t>
  </si>
  <si>
    <t>Python</t>
  </si>
  <si>
    <t>Python es un lenguaje de programación potente y fácil de aprender. Tiene estructuras de datos de alto nivel eficientes y un simple pero efectivo sistema de programación orientado a objetos.</t>
  </si>
  <si>
    <t>No funcionales Producto BE</t>
  </si>
  <si>
    <t>FastAPI</t>
  </si>
  <si>
    <t>FastAPI es un framework web moderno, rápido (de alto rendimiento), para construir APIs con Python basado en las anotaciones de tipos estándar de Python.</t>
  </si>
  <si>
    <t>CARRITO</t>
  </si>
  <si>
    <t>Funcionales Carrito BE</t>
  </si>
  <si>
    <t>PostgreSQL</t>
  </si>
  <si>
    <t>Sistema de gestión de bases de datos relacionales de código abierto</t>
  </si>
  <si>
    <t>No funcionales Carrito BE</t>
  </si>
  <si>
    <t>Tailwind CSS</t>
  </si>
  <si>
    <t>Framework de CSS utilitario para diseño rápido y responsivo</t>
  </si>
  <si>
    <t>CHECKOUT</t>
  </si>
  <si>
    <t>Funcionales Checkout BE</t>
  </si>
  <si>
    <t>JWT</t>
  </si>
  <si>
    <t>JSON Web Token para autenticación y autorización segura</t>
  </si>
  <si>
    <t>No funcionales Checkout BE</t>
  </si>
  <si>
    <t>Pydantic</t>
  </si>
  <si>
    <t>Biblioteca Python para validación de datos usando anotaciones de tipos</t>
  </si>
  <si>
    <t>ORDENES</t>
  </si>
  <si>
    <t>Funcionales Ordenes BE</t>
  </si>
  <si>
    <t>API REST</t>
  </si>
  <si>
    <t>Arquitectura para servicios web que utiliza métodos HTTP estándar</t>
  </si>
  <si>
    <t>No funcionales Ordenes BE</t>
  </si>
  <si>
    <t>Middleware</t>
  </si>
  <si>
    <t>Software que actúa como puente entre diferentes aplicaciones o servicios</t>
  </si>
  <si>
    <t>FAVORITOS</t>
  </si>
  <si>
    <t>Funcionales Favoritos BE</t>
  </si>
  <si>
    <t>CORS</t>
  </si>
  <si>
    <t>Cross-Origin Resource Sharing para permitir solicitudes entre dominios</t>
  </si>
  <si>
    <t>No funcionales Favoritos BE</t>
  </si>
  <si>
    <t>Shadcn/ui</t>
  </si>
  <si>
    <t>Biblioteca de componentes UI reutilizables para React</t>
  </si>
  <si>
    <t>DASHBOARD</t>
  </si>
  <si>
    <t>Funcionales Dashboard BE</t>
  </si>
  <si>
    <t>Transacciones ACID</t>
  </si>
  <si>
    <t>Transacciones ACID son un conjunto de reglas que garantizan que una operación en una base de datos se ejecute de forma segura y confiable. Significa que la transacción debe hacerse completamente o no hacerse (atómica), debe mantener la integridad de los datos (consistente), no debe verse afectada por otras transacciones al mismo tiempo (aislada) y sus resultados deben mantenerse incluso si ocurre un fallo (duradera).</t>
  </si>
  <si>
    <t>No funcionaes Dashboard BE</t>
  </si>
  <si>
    <t>CRUD</t>
  </si>
  <si>
    <t>CRUD es un conjunto de operaciones básicas que se pueden hacer con los datos: crear, leer, actualizar y eliminar información.</t>
  </si>
  <si>
    <t>GESTION PRODUCTOS</t>
  </si>
  <si>
    <t>Funcionales productos BE</t>
  </si>
  <si>
    <t>Docker</t>
  </si>
  <si>
    <t>No funcionales Productos BE</t>
  </si>
  <si>
    <t>Load balancing</t>
  </si>
  <si>
    <t>CATEGORIAS</t>
  </si>
  <si>
    <t>Funcionales Categorias BE</t>
  </si>
  <si>
    <t>Swagger</t>
  </si>
  <si>
    <t>No funcionales Categorias BE</t>
  </si>
  <si>
    <t>OpenAPI</t>
  </si>
  <si>
    <t>USUARIOS</t>
  </si>
  <si>
    <t>Funcionales Usuarios</t>
  </si>
  <si>
    <t>HTTP</t>
  </si>
  <si>
    <t>No funcionales Usuarios</t>
  </si>
  <si>
    <t>HTTPS</t>
  </si>
  <si>
    <t>DESCUENTOS</t>
  </si>
  <si>
    <t>Funcionales Descuentos BE</t>
  </si>
  <si>
    <t>Bcrypt</t>
  </si>
  <si>
    <t>No funcionales Descuentos BE</t>
  </si>
  <si>
    <t>DDoS</t>
  </si>
  <si>
    <t>AUTENTICACION</t>
  </si>
  <si>
    <t>Funcionales Autenticación BE</t>
  </si>
  <si>
    <t>Cookies</t>
  </si>
  <si>
    <t>No funcionales Autenticacion BE</t>
  </si>
  <si>
    <t>Normativas de datos GDPR</t>
  </si>
  <si>
    <t>PASARELA DE PAGO</t>
  </si>
  <si>
    <t>Funcionales Pasarela pagos BE</t>
  </si>
  <si>
    <t>No funcionales Pasarela de pago</t>
  </si>
  <si>
    <t>Lazy Loading</t>
  </si>
  <si>
    <t>NOTIFICACIONES</t>
  </si>
  <si>
    <t>Funcionales Notificaciones BE</t>
  </si>
  <si>
    <t>CSRF</t>
  </si>
  <si>
    <t>No funcionales Notificaciones BE</t>
  </si>
  <si>
    <t>JSON</t>
  </si>
  <si>
    <t>DB</t>
  </si>
  <si>
    <t>Funcionales generales DB</t>
  </si>
  <si>
    <t>XML</t>
  </si>
  <si>
    <t>No funcionales generales DB</t>
  </si>
  <si>
    <t>UTF-8</t>
  </si>
  <si>
    <t>SYNKRO (Modelo de negocio)</t>
  </si>
  <si>
    <t>Funcionales synkro</t>
  </si>
  <si>
    <t>Slider</t>
  </si>
  <si>
    <t>No funcionales Synkro</t>
  </si>
  <si>
    <t>Sidebar</t>
  </si>
  <si>
    <t>FRONTEND</t>
  </si>
  <si>
    <t>FUNCIONAL</t>
  </si>
  <si>
    <t>Funcionales  generales FE</t>
  </si>
  <si>
    <t>Newsletter</t>
  </si>
  <si>
    <t>NO FUNCIONAL</t>
  </si>
  <si>
    <t>No funcionales generales FE</t>
  </si>
  <si>
    <t>Notifiaciones TOAST</t>
  </si>
  <si>
    <t>Funcionales Home FE</t>
  </si>
  <si>
    <t>No funcionales Home FE</t>
  </si>
  <si>
    <t>Funcionales Producto FE</t>
  </si>
  <si>
    <t>No funcionales Producto FE</t>
  </si>
  <si>
    <t>Funcionales Carrito FE</t>
  </si>
  <si>
    <t>No funcionales Carrito FE</t>
  </si>
  <si>
    <t>PERFIL DE USUARIO</t>
  </si>
  <si>
    <t>Funcionales Perfil usuario FE</t>
  </si>
  <si>
    <t>No funcionales user profile FE</t>
  </si>
  <si>
    <t>Funcionales Dashboard FE</t>
  </si>
  <si>
    <t>No funcionales Dashboard FE</t>
  </si>
  <si>
    <t>LISTADO DE REQUERIMIENTOS DE RDWATCH</t>
  </si>
  <si>
    <t>Requirimientos</t>
  </si>
  <si>
    <t>SI</t>
  </si>
  <si>
    <t>Marque con una equis (X) si el sistema cumple con la función descrita</t>
  </si>
  <si>
    <t>NO</t>
  </si>
  <si>
    <t>Marque con una equis (X) si el sistema no cumple con la función descrita</t>
  </si>
  <si>
    <t>ADI</t>
  </si>
  <si>
    <t>Marque con una equis (X) si el sistema debe adicionar la función descrita</t>
  </si>
  <si>
    <t>Porcentaje</t>
  </si>
  <si>
    <t>Observaciones:</t>
  </si>
  <si>
    <t>Espacio para complementar respuestas</t>
  </si>
  <si>
    <t>Nivel de cumplimiento</t>
  </si>
  <si>
    <t>OBSERVACIONES</t>
  </si>
  <si>
    <t>REQUISITOS NO FUNCIONALES BACKEND</t>
  </si>
  <si>
    <t>La base de datos del sistema debe permitir integridad relacional</t>
  </si>
  <si>
    <t>X</t>
  </si>
  <si>
    <t xml:space="preserve">La base de datos del sistema debe estar normalizada teniendo en cuenta las 13 leyes de Codd </t>
  </si>
  <si>
    <t>Las consultas SELECT en tab_Productos con filtros por categoría, marca y subcategoría deben ejecutarse en menos de 200ms para hasta 10,000 productos</t>
  </si>
  <si>
    <t>La búsqueda por nom_producto usando LIKE o full-text search debe retornar resultados en menos de 300ms</t>
  </si>
  <si>
    <t>La recuperación completa de productos del carrito (tab_Carrito_Detalle con JOINs) debe ejecutarse en menos de 150ms</t>
  </si>
  <si>
    <t>La inserción de una orden completa en tab_Orden y tab_Detalle_Orden debe completarse en menos de 1 segundo</t>
  </si>
  <si>
    <t>La actualización de stock en tab_Productos y registro en tab_Recepciones_Proveedor debe ser atómica y completarse en menos de 100ms</t>
  </si>
  <si>
    <t>La consulta de promociones activas en tab_Promociones debe ejecutarse en menos de 50ms</t>
  </si>
  <si>
    <t>La consulta de descuentos aplicables en tab_Productos_Promociones con todas las validaciones de fechas y condiciones debe ejecutarse en menos de 100ms</t>
  </si>
  <si>
    <t>La consulta de historial de órdenes en tab_Orden por usuario debe retornar resultados en menos de 300ms para hasta 1000 órdenes</t>
  </si>
  <si>
    <t>La consulta en tab_Facturas y tab_Detalle_Factura debe generar reportes en menos de 2 segundos</t>
  </si>
  <si>
    <t>La consulta de opiniones de productos en tab_Opiniones debe ejecutarse en menos de 100ms</t>
  </si>
  <si>
    <t>El sistema debe soportar 1,000 usuarios simultáneos navegando el catálogo sin degradación de performance</t>
  </si>
  <si>
    <t>tab_Productos debe soportar hasta 10 millones de registros con estado = TRUE manteniendo performance</t>
  </si>
  <si>
    <t>tab_Orden debe poder manejar hasta 1 millón registros con particionamiento por fecha</t>
  </si>
  <si>
    <t>tab_Recepciones_Proveedor debe escalar hasta 50 millones de registros con archivado automático</t>
  </si>
  <si>
    <t>El sistema debe procesar mínimo 500 transacciones por segundo en tab_Orden durante picos de demanda</t>
  </si>
  <si>
    <t>El sistema debe mantener 99.9% de uptime, con máximo 8.77 horas de downtime por año</t>
  </si>
  <si>
    <t>En caso de fallo de base de datos, el sistema debe recuperarse en menos de 15 minutos</t>
  </si>
  <si>
    <t>En caso de fallo, la pérdida máxima de datos debe ser de 1 hora (RPO)</t>
  </si>
  <si>
    <t>tab_Usuarios, tab_Orden, tab_Productos, tab_Direcciones_Envio deben tener backup cada 24 horas</t>
  </si>
  <si>
    <t>Las transacciones en tab_Orden, tab_Detalle_Orden y tab_Orden_Servicios deben ser completamente ACID</t>
  </si>
  <si>
    <t>Las actualizaciones de stock en tab_Productos deben ser consistentes con tab_Recepciones_Proveedor</t>
  </si>
  <si>
    <t>Los datos de auditoría (usr_insert, fec_insert, etc.) deben ser consistentes en todas las tablas</t>
  </si>
  <si>
    <t>Todas las FK en el sistema deben ser validadas antes de inserción, especialmente las compuestas en tab_Subcategorias y tab_Productos</t>
  </si>
  <si>
    <t>Todas las transacciones deben poder hacer rollback completo en caso de error</t>
  </si>
  <si>
    <t>Los bloqueos en tab_Productos durante actualizaciones de inventario no deben exceder 100ms</t>
  </si>
  <si>
    <t>Los datos sensibles en tab_Usuarios deben estar encriptados con bcrypt o algoritmo equivalente</t>
  </si>
  <si>
    <t>correo_usuario y num_telefono_usuario en tab_Usuarios deben estar protegidos contra acceso no autorizado</t>
  </si>
  <si>
    <t>Todos los cambios en tab_Usuarios, tab_Orden, tab_Productos deben quedar registrados con usr_update y fec_update</t>
  </si>
  <si>
    <t>El acceso a tablas debe estar controlado por roles definidos en el sistema de gestión de base de datos</t>
  </si>
  <si>
    <t>Todas las consultas a tab_Productos y tab_Usuarios deben usar prepared statements</t>
  </si>
  <si>
    <t>Los datos eliminados deben quedar registrados en campos de auditoría (usr_delete, fec_delete) para auditoría</t>
  </si>
  <si>
    <t>Todos los campos de entrada en tab_Usuarios deben ser validados contra patrones maliciosos</t>
  </si>
  <si>
    <t>Las sesiones inactivas en tab_Carrito deben expirar después de 30 minutos</t>
  </si>
  <si>
    <t>Los intentos fallidos de acceso deben ser limitados para prevenir ataques de fuerza bruta</t>
  </si>
  <si>
    <t>Todas las tablas deben tener comentarios explicativos de su propósito y relaciones</t>
  </si>
  <si>
    <t>Todos los cambios en el esquema deben estar versionados y documentados</t>
  </si>
  <si>
    <t>Todos los cambios en tab_Productos y tablas relacionadas deben tener scripts de migración</t>
  </si>
  <si>
    <t>Los cambios de esquema deben poder revertirse sin pérdida de datos</t>
  </si>
  <si>
    <t>Las consultas lentas en tab_Productos, tab_Orden y tab_Facturas deben ser detectadas automáticamente</t>
  </si>
  <si>
    <t>El sistema debe generar alertas automáticas cuando tab_Recepciones_Proveedor alcance 80% del espacio asignado</t>
  </si>
  <si>
    <t>Los registros antiguos en tab_Carrito sin actividad por más de 30 días deben eliminarse automáticamente</t>
  </si>
  <si>
    <t>Todas las consultas frecuentes en tab_Productos deben tener índices específicos (ej: idx_producto_nombre)</t>
  </si>
  <si>
    <t>tab_Orden debe estar particionada por fecha para optimizar consultas históricas</t>
  </si>
  <si>
    <t>Los registros en tab_Recepciones_Proveedor mayores a 2 años deben archivarse automáticamente</t>
  </si>
  <si>
    <t>tab_Usuarios debe soportar hasta 100000 de usuarios registrados sin degradación</t>
  </si>
  <si>
    <t>tab_Productos debe manejar hasta 10 millones de productos con performance óptima</t>
  </si>
  <si>
    <t>tab_Orden debe procesar hasta 50,000 órdenes diarias sin problemas de performance</t>
  </si>
  <si>
    <t>url_imagen en tab_Productos debe soportar URLs de hasta 500 caracteres</t>
  </si>
  <si>
    <t>tab_Opiniones debe retener historial completo por 5 años</t>
  </si>
  <si>
    <t>Los datos históricos en tab_Orden mayores a 1 año deben comprimirse automáticamente</t>
  </si>
  <si>
    <t>El sistema debe permitir realizar análisis jerárquico (drill down y drill up) en diferentes módulos</t>
  </si>
  <si>
    <t>El sistema debe soportar concurrencia multiusuario sin pérdida o colisión de datos</t>
  </si>
  <si>
    <t>El sistema debe emplear carga de datos asíncrona para mejorar la experiencia del usuario y reducir los tiempos de espera</t>
  </si>
  <si>
    <t>Las consultas SQL deben estar optimizadas mediante índices, paginación y mecanismos de caché donde sea aplicable</t>
  </si>
  <si>
    <t>Los módulos deben desarrollarse de forma desacoplada y modular, facilitando el mantenimiento y escalabilidad del sistema</t>
  </si>
  <si>
    <t>El sistema debe soportar procedimientos almacenados, triggers y vistas, ejecutados en el servidor para mejorar el rendimiento y facilitar la reutilización</t>
  </si>
  <si>
    <t>El código fuente debe seguir buenas prácticas de desarrollo</t>
  </si>
  <si>
    <t>El sistema debe ser compatible con los principales navegadores actuales (Chrome, Firefox, Edge, Safari) y sus dos últimas versiones</t>
  </si>
  <si>
    <t>REQUISITOS FUNCIONALES GENERALES FRONT-END</t>
  </si>
  <si>
    <t>El sistema debe mostrar un header fijo que permanece visible al hacer scroll</t>
  </si>
  <si>
    <t>El header debe cambiar de transparente a sólido (con sombra) al hacer scroll más de 50px</t>
  </si>
  <si>
    <t>El logo debe redirigir al inicio del sitio</t>
  </si>
  <si>
    <t>El menú de navegación debe incluir enlaces a: Servicios, Sobre Nosotros, Reseñas, Galería, Contacto</t>
  </si>
  <si>
    <t>Los enlaces de navegación deben tener efecto underline animado al pasar el mouse</t>
  </si>
  <si>
    <t xml:space="preserve">El sistema debe implementar smooth scrolling para enlaces internos </t>
  </si>
  <si>
    <t>El header debe incluir botones de acción: "Mi Cuenta" y "Contacto"</t>
  </si>
  <si>
    <t>El sistema debe mostrar un preloader animado al cargar la página</t>
  </si>
  <si>
    <t>El preloader debe simular un reloj con manecillas en movimiento</t>
  </si>
  <si>
    <t>El preloader debe desaparecer después de 1.5 segundos con efecto fade-out</t>
  </si>
  <si>
    <t>El preloader debe ocupar toda la pantalla con fondo oscuro</t>
  </si>
  <si>
    <t>El hero debe mostrar título principal "Relojería Durán"</t>
  </si>
  <si>
    <t>El hero debe incluir subtítulo descriptivo sobre años de experiencia</t>
  </si>
  <si>
    <t>El sistema debe mostrar un indicador de scroll animado (mouse con rueda)</t>
  </si>
  <si>
    <t>El hero debe tener imagen de fondo con overlay oscuro</t>
  </si>
  <si>
    <t>El sistema debe mostrar una cuadrícula de 3 servicios principales</t>
  </si>
  <si>
    <t xml:space="preserve">Cada tarjeta de servicio debe incluir: ícono, título, descripción y lista de </t>
  </si>
  <si>
    <t>Las tarjetas deben elevarse (translateY) al pasar el mouse</t>
  </si>
  <si>
    <t>El sistema debe resaltar una tarjeta como "Popular" con diseño diferenciado</t>
  </si>
  <si>
    <t>Cada tarjeta debe incluir un enlace "Más información"</t>
  </si>
  <si>
    <t>El sistema debe mostrar un separador decorativo entre secciones</t>
  </si>
  <si>
    <t>El sistema debe mostrar un grid de 2 columnas: contenido + imagen</t>
  </si>
  <si>
    <t>El sistema debe incluir 2 párrafos descriptivos sobre la empresa</t>
  </si>
  <si>
    <t>El sistema debe mostrar 3 estadísticas animadas: años de experiencia, relojes reparados, % clientes satisfechos</t>
  </si>
  <si>
    <t>Los números de estadísticas deben animarse desde 0 hasta el valor final al entrar en viewport</t>
  </si>
  <si>
    <t>El sistema debe mostrar una imagen con marco decorativo rotado</t>
  </si>
  <si>
    <t>La imagen debe incluir una insignia "Desde 1970" posicionada absolutamente</t>
  </si>
  <si>
    <t>El sistema debe incluir un botón "Conoce nuestra historia completa"</t>
  </si>
  <si>
    <t>El sistema debe mostrar una cuadrícula de 4 imágenes de trabajos realizados</t>
  </si>
  <si>
    <t>La primera imagen debe ocupar 2 columnas y 2 filas (destacada)</t>
  </si>
  <si>
    <t>Cada imagen debe tener un overlay que aparece al hover</t>
  </si>
  <si>
    <t>El overlay debe mostrar: título del trabajo, descripción y botón de zoom</t>
  </si>
  <si>
    <t>Las imágenes deben hacer zoom suave (scale) al pasar el mouse</t>
  </si>
  <si>
    <t>El sistema debe incluir controles de navegación: anterior, siguiente y puntos indicadores</t>
  </si>
  <si>
    <t>La galería debe cambiar automáticamente cada 5 segundos (autoplay)</t>
  </si>
  <si>
    <t>El autoplay debe pausarse al pasar el mouse sobre la galería</t>
  </si>
  <si>
    <t>Los puntos indicadores deben mostrar qué imagen está activa</t>
  </si>
  <si>
    <t>El sistema debe mostrar un slider horizontal de tarjetas de reseñas</t>
  </si>
  <si>
    <t>Cada tarjeta debe incluir: calificación de estrellas, texto del comentario, foto del cliente, nombre y rol</t>
  </si>
  <si>
    <t>Las tarjetas deben tener scroll-snap en móviles</t>
  </si>
  <si>
    <t>El sistema debe mostrar 5 estrellas llenas para calificación máxima</t>
  </si>
  <si>
    <t>El sistema debe permitir estrellas medias (half-star) para calificaciones intermedias</t>
  </si>
  <si>
    <t>La sección debe incluir un CTA "Agenda una cita hoy"</t>
  </si>
  <si>
    <t>El sistema debe mostrar información de contacto: dirección, teléfono, email</t>
  </si>
  <si>
    <t>Cada método de contacto debe tener un ícono representativo</t>
  </si>
  <si>
    <t>El sistema debe incluir enlaces a redes sociales: Facebook, Instagram, WhatsApp</t>
  </si>
  <si>
    <t>El formulario debe incluir campos: nombre, email, teléfono (opcional), servicio, mensaje</t>
  </si>
  <si>
    <t>El sistema debe validar que los campos requeridos no estén vacíos</t>
  </si>
  <si>
    <t>El sistema debe validar el formato del email antes de enviar</t>
  </si>
  <si>
    <t>El formulario debe incluir un selector de servicio con opciones predefinidas</t>
  </si>
  <si>
    <t>El sistema debe permitir adjuntar archivos (fotos)</t>
  </si>
  <si>
    <t>El botón de envío debe mostrar un loader durante el proceso</t>
  </si>
  <si>
    <t>El sistema debe mostrar notificación de éxito tras enviar el mensaje</t>
  </si>
  <si>
    <t>El formulario debe limpiarse después de envío exitoso</t>
  </si>
  <si>
    <t>El sistema debe mostrar logos de marcas asociadas</t>
  </si>
  <si>
    <t>Los logos deben ser blancos/invertidos sobre fondo oscuro</t>
  </si>
  <si>
    <t>Los logos deben aumentar opacidad al pasar el mouse</t>
  </si>
  <si>
    <t>La sección debe mostrar al menos 5 marcas principales</t>
  </si>
  <si>
    <t>El sistema debe abrir un modal al hacer clic en "Iniciar Sesión"</t>
  </si>
  <si>
    <t>El modal debe mostrarse con animación de aparición (scale + opacity)</t>
  </si>
  <si>
    <t>El modal debe poder cerrarse haciendo clic en la X</t>
  </si>
  <si>
    <t>El modal debe cerrarse al hacer clic fuera del contenido</t>
  </si>
  <si>
    <t>El modal debe bloquear el scroll del body cuando está abierto</t>
  </si>
  <si>
    <t>El modal debe incluir el logo y nombre de la marca</t>
  </si>
  <si>
    <t>El formulario debe incluir campos: email y contraseña</t>
  </si>
  <si>
    <t>El sistema debe validar formato de email en tiempo real</t>
  </si>
  <si>
    <t>El sistema debe mostrar errores debajo de cada campo</t>
  </si>
  <si>
    <t>El sistema debe marcar campos válidos con borde verde</t>
  </si>
  <si>
    <t>El sistema debe marcar campos inválidos con borde rojo</t>
  </si>
  <si>
    <t>El sistema debe validar que la contraseña tenga mínimo 8 caracteres</t>
  </si>
  <si>
    <t>El formulario debe incluir opción "Recordarme"</t>
  </si>
  <si>
    <t>El formulario debe incluir enlace "¿Olvidaste la contraseña?"</t>
  </si>
  <si>
    <t>El botón debe mostrar loader durante el proceso de login</t>
  </si>
  <si>
    <t>El sistema debe mostrar notificación de éxito tras login exitoso</t>
  </si>
  <si>
    <t>El modal debe cerrarse después de login exitoso</t>
  </si>
  <si>
    <t>El formulario debe incluir opciones de login social: Google y Facebook</t>
  </si>
  <si>
    <t>El sistema debe permitir cambiar entre formularios Login/Registro con tabs</t>
  </si>
  <si>
    <t>El tab activo debe estar subrayado con animación</t>
  </si>
  <si>
    <t>Solo debe mostrarse un formulario a la vez</t>
  </si>
  <si>
    <t>El formulario de registro debe incluir: nombre completo, email, teléfono, contraseña, confirmar contraseña</t>
  </si>
  <si>
    <t>El sistema debe validar que el nombre tenga al menos 3 caracteres</t>
  </si>
  <si>
    <t>El sistema debe validar formato de teléfono (números, espacios, + y -)</t>
  </si>
  <si>
    <t>El teléfono debe ser opcional</t>
  </si>
  <si>
    <t>El sistema debe validar que la contraseña cumpla con requisitos de seguridad</t>
  </si>
  <si>
    <t>Los requisitos de contraseña deben incluir: 8+ caracteres, mayúscula, minúscula, número, carácter especial</t>
  </si>
  <si>
    <t>El sistema debe mostrar indicador de fuerza de contraseña en tiempo real</t>
  </si>
  <si>
    <t>La fuerza debe clasificarse en: Débil, Media, Fuerte, Muy fuerte</t>
  </si>
  <si>
    <t>El indicador debe incluir barras de progreso con colores</t>
  </si>
  <si>
    <t>El sistema debe validar que las contraseñas coincidan</t>
  </si>
  <si>
    <t>El formulario debe incluir checkbox para aceptar términos y condiciones</t>
  </si>
  <si>
    <t>El sistema debe validar que se acepten los términos antes de enviar</t>
  </si>
  <si>
    <t>El botón debe mostrar loader durante el registro</t>
  </si>
  <si>
    <t>El sistema debe mostrar notificación pidiendo verificar email tras registro exitoso</t>
  </si>
  <si>
    <t xml:space="preserve">El sistema debe cambiar automáticamente al formulario de login tras registro </t>
  </si>
  <si>
    <t>El sistema debe incluir botón para mostrar/ocultar contraseña</t>
  </si>
  <si>
    <t>El botón debe cambiar entre ícono de ojo y ojo tachado</t>
  </si>
  <si>
    <t>La funcionalidad debe aplicarse a todos los campos de contraseña</t>
  </si>
  <si>
    <t>El sistema debe mostrar un botón flotante "Volver arriba"</t>
  </si>
  <si>
    <t>El botón debe posicionarse en la esquina inferior derecha</t>
  </si>
  <si>
    <t>El botón debe hacer scroll suave hacia el inicio al hacer clic</t>
  </si>
  <si>
    <t>REQUISITOS FUNCIONALES COMERCIO</t>
  </si>
  <si>
    <t>La página debe mostrar un banner hero con título "Nuestra Colección"</t>
  </si>
  <si>
    <t>El banner debe incluir subtítulo descriptivo</t>
  </si>
  <si>
    <t>El filtro activo debe estar resaltado</t>
  </si>
  <si>
    <t>El sistema debe incluir selector de marcas: Todas, Rolex, Omega, Citizen, Otras</t>
  </si>
  <si>
    <t>La página debe cargar completamente en menos de 3 segundos</t>
  </si>
  <si>
    <t>x</t>
  </si>
  <si>
    <t>El preloader debe mostrarse durante la carga inicial</t>
  </si>
  <si>
    <t>Las imágenes deben usar lazy-loading</t>
  </si>
  <si>
    <t>Los recursos estáticos deben cargarse desde CDN (FontAwesome, Google Fonts)</t>
  </si>
  <si>
    <t>Las imágenes deben estar optimizadas (comprimidas)</t>
  </si>
  <si>
    <t>Las transiciones deben usar propiedades optimizadas (transform, opacity)</t>
  </si>
  <si>
    <t>Las animaciones pesadas deben pausarse cuando no están visibles</t>
  </si>
  <si>
    <t>El sistema debe proporcionar feedback visual para todas las acciones</t>
  </si>
  <si>
    <t>Los botones deben tener estados hover claramente diferenciados</t>
  </si>
  <si>
    <t>El cursor debe cambiar a pointer sobre elementos clicables</t>
  </si>
  <si>
    <t>El sistema debe usar smooth scrolling para mejorar la experiencia</t>
  </si>
  <si>
    <t>Los campos de formulario deben tener validación visual en tiempo real</t>
  </si>
  <si>
    <t>Los errores deben mostrarse claramente debajo de cada campo</t>
  </si>
  <si>
    <t>Los campos válidos deben tener borde verde</t>
  </si>
  <si>
    <t>Los campos inválidos deben tener borde rojo</t>
  </si>
  <si>
    <t>Los botones de carga deben mostrar spinners animados</t>
  </si>
  <si>
    <t>El diseño debe ser consistente en todas las páginas</t>
  </si>
  <si>
    <t>La tipografía debe ser consistente (Playfair Display para títulos, Montserrat para texto)</t>
  </si>
  <si>
    <t>El sistema debe cumplir con WCAG 2.1 nivel AA</t>
  </si>
  <si>
    <t>Todos los elementos interactivos deben ser accesibles por teclado</t>
  </si>
  <si>
    <t>El orden de tabulación debe ser lógico</t>
  </si>
  <si>
    <t>Los botones deben incluir atributos aria-label cuando sea necesario</t>
  </si>
  <si>
    <t>El contraste entre texto y fondo debe ser mínimo 4.5:1</t>
  </si>
  <si>
    <t>Los textos importantes deben tener mínimo 7:1 de contraste</t>
  </si>
  <si>
    <t>Los tamaños de fuente deben ser legibles (mínimo 16px para texto)</t>
  </si>
  <si>
    <t>La tipografía debe ser clara y sans-serif para contenido</t>
  </si>
  <si>
    <t>Todas las imágenes deben incluir atributo alt descriptivo</t>
  </si>
  <si>
    <t>Los íconos decorativos deben estar marcados como aria-hidden</t>
  </si>
  <si>
    <t>El sistema debe funcionar en viewports desde 320px hasta 4K</t>
  </si>
  <si>
    <t>Breakpoints principales: 480px (móvil pequeño), 768px (tablet), 1024px (laptop)</t>
  </si>
  <si>
    <t>El sistema debe usar diseño mobile-first</t>
  </si>
  <si>
    <t>Los grids deben adaptarse usando auto-fit y minmax()</t>
  </si>
  <si>
    <t>El menú de navegación debe convertirse en hamburguesa en móvil</t>
  </si>
  <si>
    <t>Las columnas multi-columna deben apilarse en vertical en móvil</t>
  </si>
  <si>
    <t>Los botones deben ocupar ancho completo en móvil cuando corresponda</t>
  </si>
  <si>
    <t>Los textos deben reducir tamaño proporcionalmente en móvil</t>
  </si>
  <si>
    <t>El hero debe mostrar el reloj flotante más pequeño en móvil</t>
  </si>
  <si>
    <t>Los elementos interactivos deben tener tamaño mínimo de 44x44px para touch</t>
  </si>
  <si>
    <t>Los sliders deben soportar swipe en dispositivos táctiles</t>
  </si>
  <si>
    <t>El carrito debe ocupar ancho completo en móviles pequeños</t>
  </si>
  <si>
    <t>El sistema debe ser compatible con Chrome 90+</t>
  </si>
  <si>
    <t>El sistema debe ser compatible con Firefox 88+</t>
  </si>
  <si>
    <t>El sistema debe ser compatible con Safari 14+</t>
  </si>
  <si>
    <t>El sistema debe ser compatible con Edge 90+</t>
  </si>
  <si>
    <t>El sistema debe degradar gracefully en navegadores antiguos</t>
  </si>
  <si>
    <t>El sistema debe funcionar en smartphones iOS y Android</t>
  </si>
  <si>
    <t>El sistema debe funcionar en tablets</t>
  </si>
  <si>
    <t>El sistema debe funcionar en desktops Windows, Mac y Linux</t>
  </si>
  <si>
    <t>El sistema debe funcionar correctamente con orientación horizontal y vertical</t>
  </si>
  <si>
    <t>Todos los inputs deben validarse en el cliente antes de enviar</t>
  </si>
  <si>
    <t>Los emails deben validarse con expresiones regulares</t>
  </si>
  <si>
    <t>Las contraseñas deben cumplir requisitos mínimos de complejidad</t>
  </si>
  <si>
    <t>Los campos numéricos deben validar tipo de dato</t>
  </si>
  <si>
    <t>Los datos sensibles NO deben guardarse en localStorage</t>
  </si>
  <si>
    <t>Las preferencias de cookies pueden guardarse en localStorage</t>
  </si>
  <si>
    <t>Los datos en localStorage deben validarse al leer</t>
  </si>
  <si>
    <t>El sistema debe sanitizar inputs antes de mostrarlos en DOM</t>
  </si>
  <si>
    <t>El sistema debe prevenir inyección de scripts en campos de texto</t>
  </si>
  <si>
    <t>Los formularios deben implementar protección básica contra bots</t>
  </si>
  <si>
    <t>El código JavaScript debe estar modularizado</t>
  </si>
  <si>
    <t>Las funciones deben tener un único propósito (Single Responsibility)</t>
  </si>
  <si>
    <t>Los nombres de variables y funciones deben ser descriptivos</t>
  </si>
  <si>
    <t>El código debe incluir comentarios en secciones complejas</t>
  </si>
  <si>
    <t>El CSS debe organizarse por secciones con comentarios</t>
  </si>
  <si>
    <t>Los archivos deben organizarse lógicamente: HTML, CSS, JS separados</t>
  </si>
  <si>
    <t>REQUERIMIENTOS  FUNCIONALES PANEL ADMINISTRATIVO</t>
  </si>
  <si>
    <t>El sistema debe permitir autenticar usuarios administrativos con credenciales únicas</t>
  </si>
  <si>
    <t>El sistema debe restringir el acceso al panel solo a usuarios autenticados</t>
  </si>
  <si>
    <t>El sistema debe registrar intentos fallidos de autenticación</t>
  </si>
  <si>
    <t>El sistema debe cerrar sesión automáticamente por inactividad prolongada</t>
  </si>
  <si>
    <t>El sistema debe permitir recuperación de contraseña mediante correo electrónico</t>
  </si>
  <si>
    <t>El sistema debe implementar autenticación de dos factores (2FA)</t>
  </si>
  <si>
    <t>El sistema debe restringir acceso a módulos según el rol del usuario</t>
  </si>
  <si>
    <t>El sistema debe permitir personalizar menús según permisos del usuario</t>
  </si>
  <si>
    <t>El sistema debe mostrar el total de órdenes</t>
  </si>
  <si>
    <t>El sistema debe mostrar los ingresos totales</t>
  </si>
  <si>
    <t>El sistema debe mostrar el total de clientes registrados</t>
  </si>
  <si>
    <t>El sistema debe mostrar el total de productos en inventario</t>
  </si>
  <si>
    <t>El sistema debe mostrar el total de visitantes del sitio</t>
  </si>
  <si>
    <t>El sistema debe mostrar los productos más vendidos</t>
  </si>
  <si>
    <t>El sistema debe mostrar gráficas de estados de pedidos (pendiente, pagado, enviado, entregado)</t>
  </si>
  <si>
    <t>El sistema debe mostrar gráficas de ventas por período</t>
  </si>
  <si>
    <t>El sistema debe mostrar gráficas de productos por categoría</t>
  </si>
  <si>
    <t>El sistema debe mostrar tendencias de ventas mensuales</t>
  </si>
  <si>
    <t>El dashboard debe mostrar métricas clave con iconos y colores</t>
  </si>
  <si>
    <t>El sistema debe permitir aplicar filtros por rango de fechas en estadísticas</t>
  </si>
  <si>
    <t>El sistema debe permitir comparar períodos (mes actual vs anterior)</t>
  </si>
  <si>
    <t>El sistema debe consolidar información analítica de ventas, productos y clientes</t>
  </si>
  <si>
    <t>El sistema debe permitir crear productos</t>
  </si>
  <si>
    <t>El sistema debe permitir editar productos</t>
  </si>
  <si>
    <t>El sistema debe permitir eliminar productos con confirmación</t>
  </si>
  <si>
    <t>El sistema debe permitir listar todos los productos</t>
  </si>
  <si>
    <t xml:space="preserve">El sistema debe permitir asignar categorías y subcategorías a productos </t>
  </si>
  <si>
    <t xml:space="preserve">El sistema debe permitir asignar marca al producto </t>
  </si>
  <si>
    <t xml:space="preserve">El sistema debe permitir asignar múltiples imágenes a un producto </t>
  </si>
  <si>
    <t>El sistema debe permitir configurar variantes de producto (talla, color, presentación)</t>
  </si>
  <si>
    <t xml:space="preserve">El sistema debe permitir clasificar productos como nuevos lanzamientos </t>
  </si>
  <si>
    <t xml:space="preserve">El sistema debe permitir activar o desactivar productos </t>
  </si>
  <si>
    <t xml:space="preserve">El sistema debe mostrar el stock disponible por producto en tiempo real </t>
  </si>
  <si>
    <t>El sistema debe permitir configurar stock mínimo y máximo por producto</t>
  </si>
  <si>
    <t>El sistema debe emitir alertas al alcanzar niveles mínimos de stock</t>
  </si>
  <si>
    <t xml:space="preserve">El sistema debe registrar movimientos de inventario asociados a ventas </t>
  </si>
  <si>
    <t>El sistema debe registrar movimientos de inventario asociados a devoluciones</t>
  </si>
  <si>
    <t xml:space="preserve">El sistema debe registrar ajustes manuales de inventario </t>
  </si>
  <si>
    <t>El sistema debe auditar movimientos de inventario con historial de cambios</t>
  </si>
  <si>
    <t>El sistema debe permitir buscar productos por nombre</t>
  </si>
  <si>
    <t>El sistema debe permitir filtrar productos por categoría</t>
  </si>
  <si>
    <t>El sistema debe permitir filtrar productos por marca</t>
  </si>
  <si>
    <t>El sistema debe permitir filtrar productos por estado (activo/inactivo)</t>
  </si>
  <si>
    <t>El sistema debe listar todos los pedidos con información básica</t>
  </si>
  <si>
    <t>El sistema debe mostrar el detalle completo de cada pedido</t>
  </si>
  <si>
    <t>El sistema debe mostrar el cliente asociado a cada pedido</t>
  </si>
  <si>
    <t>El sistema debe mostrar la fecha de creación del pedido</t>
  </si>
  <si>
    <t>El sistema debe permitir modificar el estado de las órdenes</t>
  </si>
  <si>
    <t>El sistema debe permitir filtrar órdenes por estado</t>
  </si>
  <si>
    <t>El sistema debe registrar historial de cambios de estado</t>
  </si>
  <si>
    <t>El sistema debe enviar notificaciones automáticas al cliente sobre cambios de estado</t>
  </si>
  <si>
    <t>El sistema debe permitir procesar devoluciones</t>
  </si>
  <si>
    <t>El sistema debe permitir procesar cancelaciones</t>
  </si>
  <si>
    <t>El sistema debe registrar el uso de cupones en pedidos</t>
  </si>
  <si>
    <t>El sistema debe listar todos los clientes registrados</t>
  </si>
  <si>
    <t>El sistema debe mostrar información de contacto de clientes</t>
  </si>
  <si>
    <t>El sistema debe mostrar el historial de compras por cliente</t>
  </si>
  <si>
    <t>El sistema debe filtrar clientes por ingresos y total de órdenes</t>
  </si>
  <si>
    <t>El sistema debe mostrar el historial de actividad por cliente</t>
  </si>
  <si>
    <t>El sistema debe permitir editar información de clientes</t>
  </si>
  <si>
    <t>El sistema debe permitir activar/desactivar cuentas de clientes</t>
  </si>
  <si>
    <t>El sistema debe permitir buscar clientes por nombre, email o teléfono</t>
  </si>
  <si>
    <t>El sistema debe permitir crear cupones de descuento</t>
  </si>
  <si>
    <t>El sistema debe permitir editar cupones de descuento</t>
  </si>
  <si>
    <t>El sistema debe permitir eliminar cupones de descuento</t>
  </si>
  <si>
    <t>El sistema debe permitir definir condiciones de aplicación de cupones</t>
  </si>
  <si>
    <t>El sistema debe permitir definir fecha de vencimiento de cupones</t>
  </si>
  <si>
    <t>El sistema debe permitir configurar el número de usos de cupones</t>
  </si>
  <si>
    <t>El sistema debe mostrar estadísticas de uso de cupones</t>
  </si>
  <si>
    <t>El sistema debe permitir exportar reportes en formato PDF</t>
  </si>
  <si>
    <t>El sistema debe permitir exportar reportes en formato Excel</t>
  </si>
  <si>
    <t>El sistema debe generar reporte de ventas por período</t>
  </si>
  <si>
    <t>El sistema debe generar reporte de productos más vendidos</t>
  </si>
  <si>
    <t>El sistema debe generar reporte de inventario actual</t>
  </si>
  <si>
    <t>El sistema debe permitir configurar datos de la tienda (nombre, moneda)</t>
  </si>
  <si>
    <t>El sistema debe permitir cambiar credenciales de administrador</t>
  </si>
  <si>
    <t>El sistema debe permitir configurar políticas de envío</t>
  </si>
  <si>
    <t xml:space="preserve">El sistema debe permitir configurar políticas de devolución </t>
  </si>
  <si>
    <t>El sistema debe permitir gestionar contenido legal (términos, privacidad)</t>
  </si>
  <si>
    <t>El sistema debe permitir configurar métodos de pago aceptados</t>
  </si>
  <si>
    <t>El sistema debe permitir configurar pasarelas de pago</t>
  </si>
  <si>
    <t>El sistema debe permitir configurar notificaciones automáticas</t>
  </si>
  <si>
    <t>REQUERIMIENTOS  FUNCIONALES PANEL USUARIO</t>
  </si>
  <si>
    <t>El sistema debe mostrar información básica del usuario (nombre, email, teléfono) en la cabecera de su perfil</t>
  </si>
  <si>
    <t xml:space="preserve">El sistema debe permitir visualizar información completa del cliente </t>
  </si>
  <si>
    <t xml:space="preserve">El sistema debe permitir editar información personal del cliente </t>
  </si>
  <si>
    <t>El sistema debe validar el formato del correo electrónico antes de guardar</t>
  </si>
  <si>
    <t>El sistema debe validar el número de teléfono en formato internacional</t>
  </si>
  <si>
    <t>El sistema debe validar que el correo sea único antes de actualizar</t>
  </si>
  <si>
    <t>El sistema debe mostrar confirmación tras actualizar el perfil exitosamente</t>
  </si>
  <si>
    <t>El sistema debe permitir al cliente eliminar su cuenta bajo solicitud (REQ-</t>
  </si>
  <si>
    <t>El sistema debe mostrar un avatar o foto de perfil del usuario</t>
  </si>
  <si>
    <t>El sistema debe permitir cambiar la foto de perfil</t>
  </si>
  <si>
    <t>El sistema debe permitir cambiar la contraseña</t>
  </si>
  <si>
    <t>El sistema debe validar fortaleza de contraseña al cambiarla</t>
  </si>
  <si>
    <t>El sistema debe solicitar contraseña actual antes de cambiarla</t>
  </si>
  <si>
    <t>El sistema debe enviar confirmación por email tras cambio de contraseña</t>
  </si>
  <si>
    <t>El sistema debe permitir habilitar autenticación de dos factores</t>
  </si>
  <si>
    <t>El sistema debe permitir al cliente gestionar sus direcciones (crear, editar, eliminar)</t>
  </si>
  <si>
    <t>El sistema debe permitir asociar múltiples direcciones a un mismo cliente</t>
  </si>
  <si>
    <t>El sistema debe permitir marcar una dirección como principal</t>
  </si>
  <si>
    <t>El sistema debe permitir agregar etiquetas a direcciones (Casa, Trabajo, Otro)</t>
  </si>
  <si>
    <t>El sistema debe validar campos obligatorios de dirección</t>
  </si>
  <si>
    <t xml:space="preserve"> El sistema debe autocompletar dirección si el usuario está registrado</t>
  </si>
  <si>
    <t>El sistema debe validar formato de código postal</t>
  </si>
  <si>
    <t>El sistema debe mostrar confirmación al guardar/eliminar direcciones</t>
  </si>
  <si>
    <t>El sistema debe mostrar el historial de compras del cliente (REQ-004)</t>
  </si>
  <si>
    <t xml:space="preserve">El sistema debe permitir realizar seguimiento en tiempo real del estado de pedidos </t>
  </si>
  <si>
    <t>El sistema debe mostrar detalles completos de cada pedido</t>
  </si>
  <si>
    <t>El sistema debe mostrar el estado actual de cada pedido</t>
  </si>
  <si>
    <t>El sistema debe mostrar la fecha de cada pedido</t>
  </si>
  <si>
    <t>El sistema debe mostrar el total pagado por pedido</t>
  </si>
  <si>
    <t xml:space="preserve"> El sistema debe permitir filtrar pedidos por estado</t>
  </si>
  <si>
    <t>El sistema debe permitir filtrar pedidos por rango de fechas</t>
  </si>
  <si>
    <t>El sistema debe mostrar el tiempo estimado de entrega (REQ-057)</t>
  </si>
  <si>
    <t>El sistema debe permitir ver factura de cada pedido</t>
  </si>
  <si>
    <t>El sistema debe permitir descargar factura en PDF</t>
  </si>
  <si>
    <t>El sistema debe permitir solicitar cancelación de pedido</t>
  </si>
  <si>
    <t>El sistema debe permitir solicitar devolución de pedido</t>
  </si>
  <si>
    <t>El sistema debe permitir rastrear envío con número de guía</t>
  </si>
  <si>
    <t>El sistema debe notificar al usuario sobre cambios en el estado del pedido</t>
  </si>
  <si>
    <t>El sistema debe permitir reordenar productos de pedidos anteriores</t>
  </si>
  <si>
    <t>El sistema debe permitir gestionar métodos de pago guardados de forma segura</t>
  </si>
  <si>
    <t>El sistema debe permitir agregar nuevas tarjetas de crédito/débito</t>
  </si>
  <si>
    <t>El sistema debe permitir eliminar tarjetas guardadas</t>
  </si>
  <si>
    <t>El sistema debe mostrar solo los últimos 4 dígitos de tarjetas guardadas</t>
  </si>
  <si>
    <t>El sistema debe permitir marcar una tarjeta como predeterminada</t>
  </si>
  <si>
    <t>El sistema debe validar número de tarjeta antes de guardar</t>
  </si>
  <si>
    <t>El sistema debe validar fecha de expiración</t>
  </si>
  <si>
    <t>El sistema debe almacenar datos de pago de forma cifrada (REQ-132)</t>
  </si>
  <si>
    <t>El sistema debe permitir agregar otros métodos de pago (PayPal, transferencia)</t>
  </si>
  <si>
    <t xml:space="preserve">El sistema debe permitir marcar productos como favoritos o agregarlos a lista de deseos </t>
  </si>
  <si>
    <t xml:space="preserve"> El sistema debe mostrar todos los productos favoritos del usuario</t>
  </si>
  <si>
    <t>El sistema debe permitir eliminar productos de favoritos</t>
  </si>
  <si>
    <t>El sistema debe notificar cuando un producto favorito tenga descuento</t>
  </si>
  <si>
    <t>El sistema debe permitir agregar productos favoritos al carrito</t>
  </si>
  <si>
    <t>El sistema debe mostrar disponibilidad de productos favoritos</t>
  </si>
  <si>
    <t>El sistema debe permitir calificar productos desde el historial de compras</t>
  </si>
  <si>
    <t xml:space="preserve">El sistema debe permitir crear reseñas de productos específicos </t>
  </si>
  <si>
    <t xml:space="preserve">El sistema debe permitir actualizar una reseña </t>
  </si>
  <si>
    <t xml:space="preserve">El sistema debe permitir eliminar una reseña </t>
  </si>
  <si>
    <t>El sistema debe mostrar todas las reseñas del usuario</t>
  </si>
  <si>
    <t>El sistema debe permitir adjuntar imágenes a las reseñas</t>
  </si>
  <si>
    <t>El sistema debe mostrar notificaciones importantes al usuario</t>
  </si>
  <si>
    <t>El sistema debe permitir marcar notificaciones como leídas</t>
  </si>
  <si>
    <t>El sistema debe permitir configurar preferencias de notificaciones</t>
  </si>
  <si>
    <t>El sistema debe enviar emails de confirmación de cambios importantes</t>
  </si>
  <si>
    <t>El sistema debe mostrar un dashboard con tarjetas informativas</t>
  </si>
  <si>
    <t>El sistema debe permitir navegación entre secciones desde el menú superior</t>
  </si>
  <si>
    <t xml:space="preserve">El sistema debe mostrar breadcrumbs para navegación </t>
  </si>
  <si>
    <t>El sistema debe resaltar la sección activa en el menú</t>
  </si>
  <si>
    <t>El sistema debe permitir cerrar sesión de forma segura</t>
  </si>
  <si>
    <t xml:space="preserve">El sistema debe mostrar el nombre del usuario al iniciar sesión </t>
  </si>
  <si>
    <t>El sistema debe mantener el estado de navegación entre recargas</t>
  </si>
  <si>
    <t xml:space="preserve">El sistema debe validar campos de formularios en tiempo real </t>
  </si>
  <si>
    <t xml:space="preserve">El sistema debe mostrar mensajes de error específicos </t>
  </si>
  <si>
    <t>El sistema debe mostrar confirmaciones visuales para acciones</t>
  </si>
  <si>
    <t>El sistema debe mostrar estados de carga durante operaciones</t>
  </si>
  <si>
    <t>El sistema debe validar y sanitizar todas las entradas del usuario</t>
  </si>
  <si>
    <t>El sistema debe proteger contra ataques XSS y CSRF</t>
  </si>
  <si>
    <t xml:space="preserve">El sistema debe transmitir datos sensibles solo por HTTPS </t>
  </si>
  <si>
    <t>El sistema debe implementar autenticación mediante tokens JWT (REQ-</t>
  </si>
  <si>
    <t>El sistema debe cargar el dashboard en menos de 2 segundos</t>
  </si>
  <si>
    <t>El sistema debe emplear carga asíncrona para datos (REQ-124)</t>
  </si>
  <si>
    <t>El sistema debe implementar paginación en listas largas</t>
  </si>
  <si>
    <t>El panel debe ser responsive y funcionar en móviles (REQ-143)</t>
  </si>
  <si>
    <t>El panel debe ser compatible con navegadores principales (REQ-142)</t>
  </si>
  <si>
    <t>El diseño debe ser coherente con el sitio principal (REQ-146)</t>
  </si>
  <si>
    <t>El sistema debe garantizar contraste adecuado (REQ-149, REQ-157)</t>
  </si>
  <si>
    <t>Los formularios deben tener etiquetas asociadas correctamente (REQ-159)</t>
  </si>
  <si>
    <t>Los elementos interactivos deben tener aria-label (REQ-160)</t>
  </si>
  <si>
    <t>El sistema debe soportar navegación por teclado</t>
  </si>
  <si>
    <t xml:space="preserve"> </t>
  </si>
  <si>
    <t>Observaciones</t>
  </si>
  <si>
    <t xml:space="preserve">REQUERIMIENTOS FUNCIONALES PRODUCTOS E INVENTARIO </t>
  </si>
  <si>
    <t>El sistema debe mostrar un catálogo de productos con imagen, nombre y precio</t>
  </si>
  <si>
    <t>El sistema debe mostrar información básica de cada producto en la tarjeta</t>
  </si>
  <si>
    <t>El sistema debe mostrar badge de "Nuevo" o "Oferta" en productos destacados</t>
  </si>
  <si>
    <t>El sistema debe permitir asociar productos relacionados o complementarios</t>
  </si>
  <si>
    <t>El sistema debe mostrar disponibilidad de stock en cada producto</t>
  </si>
  <si>
    <t>El sistema debe mostrar alerta de stock límite en productos</t>
  </si>
  <si>
    <t>El sistema debe mostrar calificación con estrellas de cada producto</t>
  </si>
  <si>
    <t>El sistema debe mostrar vista detallada al hacer clic en un producto</t>
  </si>
  <si>
    <t>El sistema debe mostrar múltiples imágenes del producto</t>
  </si>
  <si>
    <t>El sistema debe mostrar descripción completa del producto</t>
  </si>
  <si>
    <t>El sistema debe mostrar especificaciones técnicas del producto</t>
  </si>
  <si>
    <t>El sistema debe mostrar variantes de producto (talla, color) si aplica</t>
  </si>
  <si>
    <t>El sistema debe permitir hacer zoom en las imágenes de producto</t>
  </si>
  <si>
    <t>El sistema debe mostrar productos relacionados en la vista de detalle</t>
  </si>
  <si>
    <t>El sistema debe incluir una barra de búsqueda para productos</t>
  </si>
  <si>
    <t xml:space="preserve">El sistema debe mostrar sugerencias de búsqueda o autocompletado </t>
  </si>
  <si>
    <t xml:space="preserve">El sistema debe manejar búsquedas sin resultados de manera informativa </t>
  </si>
  <si>
    <t>El sistema debe permitir búsqueda por nombre de producto</t>
  </si>
  <si>
    <t>El sistema debe permitir búsqueda por código</t>
  </si>
  <si>
    <t>El sistema debe incluir filtros por categoría</t>
  </si>
  <si>
    <t>El sistema debe incluir filtros por marca</t>
  </si>
  <si>
    <t>El sistema debe incluir filtros por precio</t>
  </si>
  <si>
    <t>El sistema debe mostrar menú desplegable de categorías con subcategorías</t>
  </si>
  <si>
    <t>El sistema debe permitir limpiar filtros aplicados fácilmente</t>
  </si>
  <si>
    <t>El sistema debe preservar filtros al navegar</t>
  </si>
  <si>
    <t>El sistema debe mostrar contador de productos filtrados</t>
  </si>
  <si>
    <t>El sistema debe permitir aplicar múltiples filtros simultáneamente</t>
  </si>
  <si>
    <t>El sistema debe permitir ordenar por precio ascendente/descendente</t>
  </si>
  <si>
    <t>El sistema debe permitir ordenar alfabéticamente</t>
  </si>
  <si>
    <t>El sistema debe permitir ordenar por productos destacados</t>
  </si>
  <si>
    <t>El sistema debe permitir ordenar por popularidad/más vendidos</t>
  </si>
  <si>
    <t>El sistema debe permitir ordenar por fecha de agregado (nuevos)</t>
  </si>
  <si>
    <t>El sistema debe mostrar cada producto en una tarjeta</t>
  </si>
  <si>
    <t>Cada tarjeta debe incluir: imagen, categoría, marca, nombre, precio, stock, botones de acción</t>
  </si>
  <si>
    <t>Las tarjetas deben elevarse (translateY) al pasar el mouse+</t>
  </si>
  <si>
    <t>Cada tarjeta debe incluir botón "Añadir al carrito"</t>
  </si>
  <si>
    <t>Cada tarjeta debe incluir botón "Ver" para detalles</t>
  </si>
  <si>
    <t>Los precios deben formatearse como moneda (formato USD con separadores)</t>
  </si>
  <si>
    <t>El sistema debe incluir controles de paginación: Anterior, Página actual, Siguiente</t>
  </si>
  <si>
    <t>Los botones deben estar deshabilitados cuando corresponda</t>
  </si>
  <si>
    <t>REQUERIMIENTOS FUNCIONALES ORDENES Y PAGOS</t>
  </si>
  <si>
    <t>El sistema debe permitir registrar pedidos con fecha</t>
  </si>
  <si>
    <t>El sistema debe permitir registrar el cliente asociado a un pedido</t>
  </si>
  <si>
    <t>El sistema debe permitir registrar el estado del pedido</t>
  </si>
  <si>
    <t>El sistema debe calcular automáticamente el total del pedido (cantidad * precio por producto)</t>
  </si>
  <si>
    <t>El sistema debe mostrar el detalle de productos asociados a un pedido</t>
  </si>
  <si>
    <t>El sistema debe permitir agregar múltiples productos a un pedido, con cantidades variables</t>
  </si>
  <si>
    <t>El sistema debe gestionar devoluciones de pedidos según reglas del negocio</t>
  </si>
  <si>
    <t>El sistema debe gestionar cancelaciones de pedidos según reglas del negocio</t>
  </si>
  <si>
    <t>El sistema debe mostrar el tiempo estimado de entrega en el detalle del pedido</t>
  </si>
  <si>
    <t>El sistema debe permitir agregar productos al carrito desde la vista de detalle de producto</t>
  </si>
  <si>
    <t>El sistema debe mostrar el total acumulado del carrito</t>
  </si>
  <si>
    <t>El sistema debe permitir modificar cantidades de productos en el carrito</t>
  </si>
  <si>
    <t>El sistema debe permitir eliminar productos del carrito</t>
  </si>
  <si>
    <t>El sistema debe aplicar automáticamente cupones activos en el carrito si cumplen condiciones</t>
  </si>
  <si>
    <t>El sistema debe registrar el método de pago utilizado por el cliente en cada pedido</t>
  </si>
  <si>
    <t>El sistema debe integrar pasarela de pago</t>
  </si>
  <si>
    <t>El sistema debe registrar el uso de cupones en los pedidos</t>
  </si>
  <si>
    <t xml:space="preserve">El sistema debe aplicar automáticamente cupones activos si cumplen condiciones </t>
  </si>
  <si>
    <t xml:space="preserve">El sistema debe mostrar el valor descontado al aplicar cupón </t>
  </si>
  <si>
    <t>El sistema debe mostrar mensaje de error si el cupón no es válido</t>
  </si>
  <si>
    <t>El sistema debe mostrar fecha de vencimiento del cupón</t>
  </si>
  <si>
    <t>El sistema debe permitir remover cupón aplicado</t>
  </si>
  <si>
    <t>El sistema debe calcular descuento correctamente en el total</t>
  </si>
  <si>
    <t>El sistema debe ocultar la sección de tienda al ir al checkout</t>
  </si>
  <si>
    <t>El sistema debe mostrar la sección de checkout</t>
  </si>
  <si>
    <t>El sistema debe ocultar el botón flotante del carrito</t>
  </si>
  <si>
    <t>El sistema debe hacer scroll al inicio de la página</t>
  </si>
  <si>
    <t>El sistema debe incluir botón "Volver al Carrito"</t>
  </si>
  <si>
    <t>El sistema debe solicitar dirección completa de envío</t>
  </si>
  <si>
    <t>El sistema debe solicitar ciudad</t>
  </si>
  <si>
    <t>Ambos campos deben ser obligatorios</t>
  </si>
  <si>
    <t>Los campos deben tener validación en tiempo real</t>
  </si>
  <si>
    <t>El sistema debe ofrecer 3 métodos de pago: Tarjeta, PayPal, PSE</t>
  </si>
  <si>
    <t>Los métodos deben mostrarse como radio buttons</t>
  </si>
  <si>
    <t>Solo debe poder seleccionarse un método a la vez</t>
  </si>
  <si>
    <t>Tarjeta debe estar seleccionada por defecto</t>
  </si>
  <si>
    <t>El sistema debe mostrar campos de tarjeta condicionalmente</t>
  </si>
  <si>
    <t xml:space="preserve"> El sistema debe solicitar: número de tarjeta, vencimiento, CVV</t>
  </si>
  <si>
    <t xml:space="preserve"> El número de tarjeta debe tener formato de 16 dígitos</t>
  </si>
  <si>
    <t xml:space="preserve"> El vencimiento debe tener formato MM/AA</t>
  </si>
  <si>
    <t xml:space="preserve"> El CVV debe tener formato de 3 dígitos</t>
  </si>
  <si>
    <t xml:space="preserve"> Todos los campos deben ser obligatorios</t>
  </si>
  <si>
    <t>El sistema debe mostrar lista de productos en el resumen</t>
  </si>
  <si>
    <t>Cada producto debe mostrar: imagen, nombre, precio x cantidad</t>
  </si>
  <si>
    <t>El sistema debe mostrar subtotal de productos</t>
  </si>
  <si>
    <t>El sistema debe mostrar total final</t>
  </si>
  <si>
    <t>El botón de pago debe mostrar el monto total</t>
  </si>
  <si>
    <t>El sistema debe validar todos los campos antes de procesar</t>
  </si>
  <si>
    <t>El botón debe mostrar loader durante el procesamiento</t>
  </si>
  <si>
    <t>El botón debe deshabilitarse durante el procesamiento</t>
  </si>
  <si>
    <t>El sistema debe simular procesamiento de pago (3 segundos)</t>
  </si>
  <si>
    <t>El sistema debe mostrar notificación de éxito tras pago exitoso</t>
  </si>
  <si>
    <t>El carrito debe vaciarse después de pago exitoso</t>
  </si>
  <si>
    <t>El sistema debe regresar a la vista de tienda</t>
  </si>
  <si>
    <t>El botón flotante debe reaparecer</t>
  </si>
  <si>
    <t>LISTADO DE REQUERIMIENTOS DE SYNKRO</t>
  </si>
  <si>
    <t>REQUERIMIENTOS FUNCIONALES BANNER COOKIES</t>
  </si>
  <si>
    <t>El sistema debe mostrar banner de cookies en la primera visita</t>
  </si>
  <si>
    <t>El banner debe posicionarse en la parte inferior de la pantalla</t>
  </si>
  <si>
    <t>El banner debe incluir texto explicativo sobre cookies</t>
  </si>
  <si>
    <t>El banner debe incluir enlace a "Política de Cookies"</t>
  </si>
  <si>
    <t>El banner debe incluir botón "Aceptar y Continuar"</t>
  </si>
  <si>
    <t>El sistema debe guardar la preferencia en localStorage</t>
  </si>
  <si>
    <t>El banner no debe mostrarse si ya fue aceptado</t>
  </si>
  <si>
    <t>El banner debe verificar preferencia en cada carga de página</t>
  </si>
  <si>
    <t>REQUERIMIENTOS FUNCIONALES SOPORTE Y ASPECTOS LEGALES</t>
  </si>
  <si>
    <t>El sistema debe permitir redirigir a canales externos como WhatsApp o correo electrónico para soporte</t>
  </si>
  <si>
    <t>El sistema debe mostrar una sección de centro de ayuda (FAQs)</t>
  </si>
  <si>
    <t>El sistema debe permitir definir políticas legales como política de privacidad</t>
  </si>
  <si>
    <t>El sistema debe permitir definir políticas legales como términos y condiciones</t>
  </si>
  <si>
    <t>El sistema debe permitir registrar una política de envíos visible desde el footer del sitio</t>
  </si>
  <si>
    <t>El sistema debe permitir visualizar y clasificar las preguntas frecuentes (FAQs) por categorías</t>
  </si>
  <si>
    <t>El sistema debe permitir registrar una política de devoluciones visible desde el footer del sitio</t>
  </si>
  <si>
    <t>El sistema debe permitir mostrar información legal sobre el tratamiento de datos personales (cumplimiento de Habeas Data)</t>
  </si>
  <si>
    <t>El sistema debe mostrar una sección de "Aviso legal" con datos del responsable del sitio (empresa, NIT, dirección, contacto)</t>
  </si>
  <si>
    <t>El sistema debe permitir mostrar una ventana emergente (modal) para gestión de cookies con opción de aceptar o configurar</t>
  </si>
  <si>
    <t>El sistema debe permitir al cliente un soporte mediante un chatbot</t>
  </si>
  <si>
    <t>El sistema debe permitir al usuario visualizar y aceptar la política de privacidad de la empresa</t>
  </si>
  <si>
    <t>El sistema debe permitir al usuario visualizar y aceptar los términos y condiciones de la empresa</t>
  </si>
  <si>
    <t>La factura electrónica debe contener elementos mínimos legales según el DIAN</t>
  </si>
  <si>
    <t>REQUERIMIENTOS FUNCIONALES CARRITO</t>
  </si>
  <si>
    <t>El sistema debe permitir agregar productos al carrito desde la vista de producto</t>
  </si>
  <si>
    <t xml:space="preserve">El sistema debe mostrar el total acumulado del carrito </t>
  </si>
  <si>
    <t>El sistema debe permitir modificar cantidades en el carrito</t>
  </si>
  <si>
    <t>El sistema debe mostrar el carrito en la ezquina inferior derecha</t>
  </si>
  <si>
    <t>El sistema debe mostrar contador de productos en el icono de carrito</t>
  </si>
  <si>
    <t xml:space="preserve">El sistema debe mantener el estado del carrito si el usuario está logueado </t>
  </si>
  <si>
    <t>El sistema debe sincronizar el carrito entre todas las vistas</t>
  </si>
  <si>
    <t>El sistema debe mostrar imagen miniatura de productos en el carrito</t>
  </si>
  <si>
    <t>El sistema debe calcular automáticamente subtotales por producto</t>
  </si>
  <si>
    <t>El sistema debe permitir guardar carrito para compra posterior</t>
  </si>
  <si>
    <t xml:space="preserve">El sistema debe validar disponibilidad de stock antes de agregar al carrito </t>
  </si>
  <si>
    <t>El sistema debe prevenir agregar productos inactivos al carrito</t>
  </si>
  <si>
    <t>El sistema debe mostrar mensaje si el carrito está vacío</t>
  </si>
  <si>
    <t>El sistema debe deshabilitar botón de checkout si el carrito está vacío</t>
  </si>
  <si>
    <t>El sistema debe validar stock disponible antes de proceder al checkout</t>
  </si>
  <si>
    <t>El sistema debe mostrar notificación de éxito al añadir producto</t>
  </si>
  <si>
    <t>El sistema debe mostrar error si no hay stock suficiente</t>
  </si>
  <si>
    <t>Si el producto ya existe en el carrito, debe incrementar la cantidad</t>
  </si>
  <si>
    <t>El sistema debe validar que la cantidad total no exceda el stock</t>
  </si>
  <si>
    <t>El carrito debe abrirse desde la derecha con animación</t>
  </si>
  <si>
    <t>El carrito debe cerrarse al hacer clic en la X</t>
  </si>
  <si>
    <t>El carrito debe cerrarse al hacer clic en el overlay</t>
  </si>
  <si>
    <t>El sistema debe mostrar cada ítem con: imagen, nombre, precio unitario, cantidad</t>
  </si>
  <si>
    <t>Cada ítem debe incluir controles de cantidad (+/-)</t>
  </si>
  <si>
    <t>Cada ítem debe incluir input numérico para cantidad</t>
  </si>
  <si>
    <t>El input debe respetar el stock máximo del producto</t>
  </si>
  <si>
    <t>El sistema debe actualizar totales al cambiar cantidad</t>
  </si>
  <si>
    <t>Cada ítem debe incluir botón "Eliminar"</t>
  </si>
  <si>
    <t>El sistema debe mostrar confirmación visual al eliminar</t>
  </si>
  <si>
    <t>Si el carrito está vacío, debe mostrar mensaje "El carrito está vacío"</t>
  </si>
  <si>
    <t>La lista debe tener scroll si hay muchos ítems</t>
  </si>
  <si>
    <t>El carrito debe limpiarse después de un pago exitoso</t>
  </si>
  <si>
    <t>El sistema debe mostrar el total incluyendo envío</t>
  </si>
  <si>
    <t>Los totales deben actualizarse en tiempo real</t>
  </si>
  <si>
    <t>El sistema debe incluir botón "Proceder al Pago"</t>
  </si>
  <si>
    <t>El botón debe estar deshabilitado si el carrito está vacío</t>
  </si>
  <si>
    <t>El sistema debe incluir botón "Seguir Comprando"</t>
  </si>
  <si>
    <t>"Seguir Comprando" debe cerrar el carrito</t>
  </si>
  <si>
    <t>El carrito debe cargarse automáticamente al iniciar la página</t>
  </si>
  <si>
    <t>El carrito debe persistir entre recargas de página</t>
  </si>
  <si>
    <t xml:space="preserve">El sistema debe permitir ingresar código de cupón en el carrito </t>
  </si>
  <si>
    <t xml:space="preserve">RF GESTIÓN DE CLIENTES Y USUARIOS </t>
  </si>
  <si>
    <t>El sistema debe permitir registrar información de clientes</t>
  </si>
  <si>
    <t>El sistema debe permitir editar información de los clientes</t>
  </si>
  <si>
    <t>El sistema debe permitir visualizar información de clientes</t>
  </si>
  <si>
    <t>El sistema debe mostrar el historial de compras del cliente en su perfil</t>
  </si>
  <si>
    <t>El sistema debe permitir registrar clientes con campos obligatorios</t>
  </si>
  <si>
    <t>El sistema debe validar que el número de identificación del cliente sea único</t>
  </si>
  <si>
    <t>El sistema debe enviar notificaciones automáticas al cliente sobre el estado del pedido</t>
  </si>
  <si>
    <t>El sistema debe registrar un historial de actividad por usuario</t>
  </si>
  <si>
    <t xml:space="preserve">El sistema debe mostrar al cliente su información básica (nombre, email, teléfono) </t>
  </si>
  <si>
    <t>El sistema debe permitir registrar usuarios administrativos con credenciales únicas</t>
  </si>
  <si>
    <t>El sistema debe restringir el acceso a módulos según el rol del usuario</t>
  </si>
  <si>
    <t>El sistema debe registrar intentos fallidos de autenticación de usuario</t>
  </si>
  <si>
    <t>El sistema debe permitir recuperación de contraseña mediante correo electrónico seguro</t>
  </si>
  <si>
    <t>El sistema debe validar el formato del correo electrónico antes de registrar un cliente</t>
  </si>
  <si>
    <t>El sistema debe verificar la existencia del correo antes de permitir el registro</t>
  </si>
  <si>
    <t>El sistema debe enviar un correo de confirmación tras el registro exitoso</t>
  </si>
  <si>
    <t>El sistema debe permitir a los clientes eliminar su cuenta bajo solicitud</t>
  </si>
  <si>
    <t>El sistema debe permitir a los clientes calificar productos desde su historial de compras</t>
  </si>
  <si>
    <t>El sistema debe permitir a los usuarios crear reseñas de productos específicos</t>
  </si>
  <si>
    <t>El sistema debe permitir al usuario eliminar una reseña</t>
  </si>
  <si>
    <t>El sistema debe permitir al usuario actualizar una reseña</t>
  </si>
  <si>
    <t>El sistema debe permitir a los clientes marcar productos como favoritos o agregarlos a una lista de deseos</t>
  </si>
  <si>
    <t>El sistema debe permitir a los clientes gestionar y actualizar sus métodos de pago guardados de forma segura</t>
  </si>
  <si>
    <t>El sistema debe permitir a los clientes realizar seguimiento en tiempo real del estado de sus pedidos</t>
  </si>
  <si>
    <t xml:space="preserve">Requerimientos de Paleta de Colores y Sistema Cromático </t>
  </si>
  <si>
    <t>El sistema debe definir el color oro principal como #b8860b (DarkGoldenrod</t>
  </si>
  <si>
    <t>El color oro principal debe usarse en botones de acción primarios</t>
  </si>
  <si>
    <t>El color oro principal debe usarse en íconos destacados de servicios</t>
  </si>
  <si>
    <t>El color oro principal debe usarse en enlaces activos y elementos interactivos</t>
  </si>
  <si>
    <t>El color oro principal debe usarse en badges y etiquetas premium</t>
  </si>
  <si>
    <t>El color oro principal debe transmitir sensación de lujo y exclusividad</t>
  </si>
  <si>
    <t>El color oro principal debe tener contraste mínimo 4.5:1 sobre fondo blanco</t>
  </si>
  <si>
    <t>El sistema debe definir el color oro oscuro como #996515</t>
  </si>
  <si>
    <t>El color oro oscuro debe usarse en estados hover de botones primarios</t>
  </si>
  <si>
    <t>El color oro oscuro debe usarse en títulos importantes y encabezados</t>
  </si>
  <si>
    <t>El color oro oscuro debe usarse en bordes de elementos destacados</t>
  </si>
  <si>
    <t>El color oro oscuro debe proporcionar mayor contraste que el oro principal</t>
  </si>
  <si>
    <t>El sistema debe definir el color oro claro como #d4af37</t>
  </si>
  <si>
    <t>El color oro claro debe usarse en títulos hero sobre fondos oscuros</t>
  </si>
  <si>
    <t>El color oro claro debe usarse en texto sobre fondos negros</t>
  </si>
  <si>
    <t>El color oro claro debe usarse en separadores decorativos</t>
  </si>
  <si>
    <t>El color oro claro debe usarse en insignias especiales ("Desde 1970")</t>
  </si>
  <si>
    <t>El color oro claro debe tener óptima visibilidad sobre fondos oscuros</t>
  </si>
  <si>
    <t>El sistema debe definir el color negro principal como #1a1a1a</t>
  </si>
  <si>
    <t>El negro principal debe usarse en headers fijos y scrolled</t>
  </si>
  <si>
    <t>El negro principal debe usarse en footers</t>
  </si>
  <si>
    <t>El negro principal debe usarse en fondos de tarjetas destacadas (featured)</t>
  </si>
  <si>
    <t>El negro principal debe usarse en texto de títulos principales</t>
  </si>
  <si>
    <t>El negro principal debe transmitir sofisticación y elegancia</t>
  </si>
  <si>
    <t>El sistema debe definir el color negro suave como #333333</t>
  </si>
  <si>
    <t>El negro suave debe usarse en estados hover sobre fondos oscuros</t>
  </si>
  <si>
    <t>El negro suave debe usarse en texto de párrafos principalesEl negro suave debe usarse en texto de párrafos principales</t>
  </si>
  <si>
    <t>El negro suave debe proporcionar contraste 12.63:1 sobre blanco (AAA)</t>
  </si>
  <si>
    <t>El negro suave debe usarse en bordes sutiles de secciones oscuras</t>
  </si>
  <si>
    <t>El sistema debe definir el color de acento como #556b2f (DarkOliveGreen)</t>
  </si>
  <si>
    <t>El color de acento debe usarse en el botón flotante del carrito</t>
  </si>
  <si>
    <t>El color de acento debe usarse para crear contraste complementario</t>
  </si>
  <si>
    <t>El color de acento debe usarse en estados hover de elementos secundarios</t>
  </si>
  <si>
    <t>El color de acento debe romper la monotonía de la paleta oro-negro</t>
  </si>
  <si>
    <t>El color de acento debe transmitir confiabilidad y estabilidad</t>
  </si>
  <si>
    <t>El sistema debe definir el color de texto principal como #333333</t>
  </si>
  <si>
    <t>El texto principal debe usarse en párrafos y contenido de lectura</t>
  </si>
  <si>
    <t>El texto principal debe garantizar contraste AAA (12.63:1) sobre blanco</t>
  </si>
  <si>
    <t>El texto principal debe ser óptimo para lectura prolongada</t>
  </si>
  <si>
    <t>El sistema debe definir el color de texto secundario como #666666</t>
  </si>
  <si>
    <t>El texto secundario debe usarse en subtítulos y descripciones</t>
  </si>
  <si>
    <t>El texto secundario debe usarse en metadatos y fechas</t>
  </si>
  <si>
    <t>El texto secundario debe garantizar contraste AA (5.74:1) sobre blanco</t>
  </si>
  <si>
    <t>El texto secundario debe crear jerarquía visual de información</t>
  </si>
  <si>
    <t>El sistema debe definir el color de texto terciario como #999999</t>
  </si>
  <si>
    <t>El texto terciario debe usarse en placeholders de formularios</t>
  </si>
  <si>
    <t>El texto terciario debe usarse en texto deshabilitado</t>
  </si>
  <si>
    <t>El texto terciario debe usarse en footers y texto no crítico</t>
  </si>
  <si>
    <t>El texto terciario debe tener contraste mínimo 2.85:1 (solo texto grande AA)</t>
  </si>
  <si>
    <t>El texto terciario NO debe usarse para información crítica</t>
  </si>
  <si>
    <t>El sistema debe definir el fondo claro como #f9f9f9</t>
  </si>
  <si>
    <t>El fondo claro debe usarse en fondos de página principales</t>
  </si>
  <si>
    <t>El fondo claro debe usarse en secciones alternas para crear separación visual</t>
  </si>
  <si>
    <t>El fondo claro debe contrastar sutilmente con blanco puro</t>
  </si>
  <si>
    <t>El sistema debe definir el blanco puro como #ffffff</t>
  </si>
  <si>
    <t>El blanco puro debe usarse en tarjetas de productos</t>
  </si>
  <si>
    <t>El blanco puro debe usarse en modales y formularios</t>
  </si>
  <si>
    <t>El blanco puro debe usarse para máxima limpieza visual</t>
  </si>
  <si>
    <t>El sistema debe definir el fondo oscuro como #222222</t>
  </si>
  <si>
    <t>El fondo oscuro debe usarse en secciones premium (reseñas, marcas)</t>
  </si>
  <si>
    <t>El fondo oscuro debe usarse en banners destacados</t>
  </si>
  <si>
    <t>El fondo oscuro debe usarse en footers</t>
  </si>
  <si>
    <t>El fondo oscuro debe servir como base para textos claros</t>
  </si>
  <si>
    <t>El sistema debe definir el negro puro como #000000</t>
  </si>
  <si>
    <t>El negro puro debe usarse para sombras intensas</t>
  </si>
  <si>
    <t>El negro puro debe proporcionar máximo contraste</t>
  </si>
  <si>
    <t>El sistema debe definir el color de éxito como #28a745 (verde)</t>
  </si>
  <si>
    <t>El color de éxito debe usarse en notificaciones de éxito</t>
  </si>
  <si>
    <t>El color de éxito debe usarse en bordes de campos validados correctamente</t>
  </si>
  <si>
    <t>El color de éxito debe usarse en íconos de confirmación (checkmarks)</t>
  </si>
  <si>
    <t>El color de éxito debe usarse en mensajes de "Pago completado"</t>
  </si>
  <si>
    <t>El color de éxito debe usarse en indicadores de stock disponible</t>
  </si>
  <si>
    <t>El color de éxito debe transmitir confirmación positiva</t>
  </si>
  <si>
    <t>El sistema debe definir el color de error como #dc3545 (rojo)</t>
  </si>
  <si>
    <t>El color de error debe usarse en notificaciones de error</t>
  </si>
  <si>
    <t>El color de error debe usarse en bordes de campos con errores de validación</t>
  </si>
  <si>
    <t>El sistema debe permitir cambiar entre El color de error debe usarse en mensajes de error debajo de inputs Login/Registro con tabs</t>
  </si>
  <si>
    <t>El color de error debe usarse en badges de productos agotados</t>
  </si>
  <si>
    <t>El color de error debe usarse en contadores de carrito (urgencia)</t>
  </si>
  <si>
    <t>El color de error debe usarse en botón de cerrar modal (X)</t>
  </si>
  <si>
    <t>El color de error debe transmitir urgencia y alerta</t>
  </si>
  <si>
    <t>El sistema debe definir el color de advertencia como #ffc107 (amarillo)</t>
  </si>
  <si>
    <t>El color de advertencia debe usarse en notificaciones de advertencia</t>
  </si>
  <si>
    <t>El color de advertencia debe usarse en badges de stock limitado</t>
  </si>
  <si>
    <t>El color de advertencia debe transmitir precaución</t>
  </si>
  <si>
    <t>El sistema debe definir el color de información como #17a2b8 (cyan)</t>
  </si>
  <si>
    <t>El color de información debe usarse en notificaciones informativas</t>
  </si>
  <si>
    <t>El color de información debe usarse en tooltips y ayudas</t>
  </si>
  <si>
    <t>El color de información debe usarse en badges de "Nuevo"</t>
  </si>
  <si>
    <t>El color de información debe transmitir neutralidad informativa</t>
  </si>
  <si>
    <t>Los botones primarios deben cambiar de #b8860b a #996515 en hover</t>
  </si>
  <si>
    <t>Los botones secundarios deben cambiar de #1a1a1a a #333333 en hover</t>
  </si>
  <si>
    <t>Los botones outline deben cambiar fondo de transparente a #b8860b en hover</t>
  </si>
  <si>
    <t>Los enlaces deben cambiar de #b8860b a #996515 en hover</t>
  </si>
  <si>
    <t>Las tarjetas de productos deben mantener color pero cambiar elevación en hover</t>
  </si>
  <si>
    <t>Los íconos sociales deben cambiar de #333 a #b8860b en hover</t>
  </si>
  <si>
    <t>Los inputs con focus deben tener borde #b8860b</t>
  </si>
  <si>
    <t>Los inputs con focus deben tener box-shadow rgba(184, 134, 11, 0.5)</t>
  </si>
  <si>
    <t>Los botones con focus deben tener outline del color base</t>
  </si>
  <si>
    <t>Los elementos focuseables deben tener indicador visible de focus</t>
  </si>
  <si>
    <t>Los elementos deshabilitados deben usar #cccccc como color de texto</t>
  </si>
  <si>
    <t>Los elementos deshabilitados deben usar #f5f5f5 como color de fondo</t>
  </si>
  <si>
    <t>Los elementos deshabilitados deben tener opacidad 0.6</t>
  </si>
  <si>
    <t>Los elementos deshabilitados deben tener cursor: not-allowed</t>
  </si>
  <si>
    <t>Los overlays de imagen deben usar rgba(0, 0, 0, 0.7) para oscurecer</t>
  </si>
  <si>
    <t>Los overlays de imagen deben usar rgba(0, 0, 0, 0.6) para galería</t>
  </si>
  <si>
    <t>Los overlays del carrito deben usar rgba(0, 0, 0, 0.5)</t>
  </si>
  <si>
    <t>Los overlays de modal deben usar rgba(0, 0, 0, 0.8)</t>
  </si>
  <si>
    <t>Los overlays deben usar transiciones suaves de opacity</t>
  </si>
  <si>
    <t>Las sombras pequeñas deben usar 0 2px 4px rgba(0,0,0,0.1)</t>
  </si>
  <si>
    <t>Las sombras medianas deben usar 0 4px 8px rgba(0,0,0,0.15)</t>
  </si>
  <si>
    <t>Las sombras grandes deben usar 0 8px 16px rgba(0,0,0,0.2)</t>
  </si>
  <si>
    <t>Las sombras extra grandes deben usar 0 12px 24px rgba(0,0,0,0.25)</t>
  </si>
  <si>
    <t>Las sombras deben aumentar en hover para efecto de elevación</t>
  </si>
  <si>
    <t>El hero debe usar gradiente linear-gradient(rgba(0,0,0,0.7), rgba(0,0,0,0.7))</t>
  </si>
  <si>
    <t>El banner de comercio debe usar gradiente con imagen de fondo</t>
  </si>
  <si>
    <t>Los gradientes deben mantener legibilidad del texto</t>
  </si>
  <si>
    <t>Los gradientes deben ser sutiles para no distraer</t>
  </si>
  <si>
    <t>El header transparente debe tener color de fondo transparente</t>
  </si>
  <si>
    <t>El header scrolled debe tener color de fondo rgba(0, 0, 0, 0.95)</t>
  </si>
  <si>
    <t>Los nav-links deben tener color #ffffff sobre header</t>
  </si>
  <si>
    <t>El logo debe tener color oro #b8860b para el ícono</t>
  </si>
  <si>
    <t>El underline de nav-links debe ser color #b8860b</t>
  </si>
  <si>
    <t>Los botones primarios deben tener fondo #b8860b y texto #ffffff</t>
  </si>
  <si>
    <t>Los botones secundarios deben tener fondo #1a1a1a y texto #ffffff</t>
  </si>
  <si>
    <t>Los botones outline deben tener borde #b8860b y texto #b8860b</t>
  </si>
  <si>
    <t>Los botones deben mantener contraste mínimo 4.5:1</t>
  </si>
  <si>
    <t>Los inputs válidos deben tener borde #28a745</t>
  </si>
  <si>
    <t>Los inputs inválidos deben tener borde #dc3545</t>
  </si>
  <si>
    <t>Los placeholders deben tener color #999999</t>
  </si>
  <si>
    <t>Los labels deben tener color #333333</t>
  </si>
  <si>
    <t>Los mensajes de error deben tener color #dc3545</t>
  </si>
  <si>
    <t>Las tarjetas deben tener fondo #ffffff</t>
  </si>
  <si>
    <t>Las tarjetas deben tener borde #eeeeee</t>
  </si>
  <si>
    <t>El precio debe tener color #b8860b</t>
  </si>
  <si>
    <t>La categoría debe tener color #996515</t>
  </si>
  <si>
    <t>El nombre del producto debe tener color #1a1a1a</t>
  </si>
  <si>
    <t>El stock debe tener color #666666</t>
  </si>
  <si>
    <t>El botón flotante del carrito debe tener fondo #556b2f</t>
  </si>
  <si>
    <t>El contador del carrito debe tener fondo #dc3545</t>
  </si>
  <si>
    <t>Los totales deben tener color #1a1a1a</t>
  </si>
  <si>
    <t>El botón de checkout debe tener fondo #b8860b</t>
  </si>
  <si>
    <t>Las notificaciones de éxito deben tener fondo #28a745</t>
  </si>
  <si>
    <t>Las notificaciones de error deben tener fondo #dc3545</t>
  </si>
  <si>
    <t>Las notificaciones deben tener texto #ffffff</t>
  </si>
  <si>
    <t>Las notificaciones deben tener sombra 0 4px 8px rgba(0,0,0,0.15)</t>
  </si>
  <si>
    <t>El footer debe tener fondo #1a1a1a</t>
  </si>
  <si>
    <t>El texto del footer debe tener color #cccccc</t>
  </si>
  <si>
    <t>Los enlaces del footer deben tener color #cccccc</t>
  </si>
  <si>
    <t>Los enlaces del footer en hover deben tener color #d4af37</t>
  </si>
  <si>
    <t>Los títulos del footer deben tener color #ffffff</t>
  </si>
  <si>
    <t>El logo del footer debe tener color #d4af37</t>
  </si>
  <si>
    <t>El sistema debe cumplir con WCAG 2.1 nivel AA mínimo</t>
  </si>
  <si>
    <t>Los textos principales deben cumplir nivel AAA (7:1)</t>
  </si>
  <si>
    <t>Los textos sobre fondo oro deben tener contraste mínimo 4.5:1</t>
  </si>
  <si>
    <t>Los textos sobre fondo negro deben tener contraste mínimo 7:1</t>
  </si>
  <si>
    <t>Los botones deben tener contraste mínimo 3:1 con el fondo</t>
  </si>
  <si>
    <t>Los estados no deben comunicarse solo con color</t>
  </si>
  <si>
    <t>Los estados deben incluir íconos o texto adicional</t>
  </si>
  <si>
    <t>Los errores de validación deben mostrar mensaje de texto además del color</t>
  </si>
  <si>
    <t>Los enlaces deben distinguirse por más que solo el color</t>
  </si>
  <si>
    <t>Todos los colores deben definirse en variables CSS en :root</t>
  </si>
  <si>
    <t>Las variables deben organizarse por categoría (primary, secondary, text, etc.)</t>
  </si>
  <si>
    <t>No se deben usar valores hexadecimales directamente en el código</t>
  </si>
  <si>
    <t>Los cambios de color deben hacerse solo en las variables</t>
  </si>
  <si>
    <t>El mismo propósito debe usar siempre el mismo color</t>
  </si>
  <si>
    <t>Los colores deben aplicarse consistentemente en todas las páginas</t>
  </si>
  <si>
    <t>Los estados hover deben seguir la misma lógica en todos los componentes</t>
  </si>
  <si>
    <t>Los colores de error deben ser siempre los mismos en todo el sistema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</si>
</sst>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 #,##0_-;_-* &quot;-&quot;??_-;_-@"/>
  </numFmts>
  <fonts count="28">
    <font>
      <sz val="11.0"/>
      <color theme="1"/>
      <name val="Calibri"/>
      <scheme val="minor"/>
    </font>
    <font>
      <b/>
      <sz val="14.0"/>
      <color theme="0"/>
      <name val="Calibri"/>
    </font>
    <font/>
    <font>
      <sz val="11.0"/>
      <color theme="1"/>
      <name val="Calibri"/>
    </font>
    <font>
      <u/>
      <sz val="11.0"/>
      <color theme="10"/>
      <name val="Calibri"/>
    </font>
    <font>
      <b/>
      <sz val="20.0"/>
      <color rgb="FF000000"/>
      <name val="Calibri"/>
    </font>
    <font>
      <u/>
      <sz val="11.0"/>
      <color theme="10"/>
      <name val="Calibri"/>
    </font>
    <font>
      <sz val="11.0"/>
      <color rgb="FF474747"/>
      <name val="Calibri"/>
    </font>
    <font>
      <sz val="11.0"/>
      <color rgb="FF1F1F1F"/>
      <name val="Calibri"/>
    </font>
    <font>
      <b/>
      <sz val="14.0"/>
      <color theme="1"/>
      <name val="Calibri"/>
    </font>
    <font>
      <sz val="11.0"/>
      <color rgb="FF040C28"/>
      <name val="Calibri"/>
    </font>
    <font>
      <sz val="11.0"/>
      <color theme="0"/>
      <name val="Calibri"/>
    </font>
    <font>
      <sz val="11.0"/>
      <color rgb="FF000000"/>
      <name val="Calibri"/>
    </font>
    <font>
      <u/>
      <sz val="11.0"/>
      <color theme="10"/>
      <name val="Calibri"/>
    </font>
    <font>
      <b/>
      <sz val="12.0"/>
      <color theme="1"/>
      <name val="Arial"/>
    </font>
    <font>
      <b/>
      <sz val="12.0"/>
      <color theme="1"/>
      <name val="Calibri"/>
    </font>
    <font>
      <sz val="12.0"/>
      <color theme="1"/>
      <name val="Calibri"/>
    </font>
    <font>
      <b/>
      <sz val="11.0"/>
      <color theme="1"/>
      <name val="Calibri"/>
    </font>
    <font>
      <sz val="14.0"/>
      <color theme="0"/>
      <name val="Calibri"/>
    </font>
    <font>
      <sz val="14.0"/>
      <color rgb="FF000000"/>
      <name val="Calibri"/>
    </font>
    <font>
      <sz val="14.0"/>
      <color theme="1"/>
      <name val="Calibri"/>
    </font>
    <font>
      <sz val="11.0"/>
      <color rgb="FF000000"/>
      <name val="Consolas"/>
    </font>
    <font>
      <sz val="14.0"/>
      <color rgb="FFFFFFFF"/>
      <name val="Calibri"/>
    </font>
    <font>
      <color theme="1"/>
      <name val="Calibri"/>
      <scheme val="minor"/>
    </font>
    <font>
      <b/>
      <sz val="12.0"/>
      <color rgb="FF3A3838"/>
      <name val="Arial"/>
    </font>
    <font>
      <sz val="12.0"/>
      <color rgb="FF000000"/>
      <name val="Calibri"/>
    </font>
    <font>
      <sz val="11.0"/>
      <color rgb="FF000000"/>
      <name val="&quot;Aptos Narrow&quot;"/>
    </font>
    <font>
      <sz val="11.0"/>
      <color theme="1"/>
      <name val="Bahnschrift SemiBold"/>
    </font>
  </fonts>
  <fills count="19">
    <fill>
      <patternFill patternType="none"/>
    </fill>
    <fill>
      <patternFill patternType="lightGray"/>
    </fill>
    <fill>
      <patternFill patternType="solid">
        <fgColor theme="1"/>
        <bgColor theme="1"/>
      </patternFill>
    </fill>
    <fill>
      <patternFill patternType="solid">
        <fgColor rgb="FFD8D8D8"/>
        <bgColor rgb="FFD8D8D8"/>
      </patternFill>
    </fill>
    <fill>
      <patternFill patternType="solid">
        <fgColor rgb="FFFFC000"/>
        <bgColor rgb="FFFFC000"/>
      </patternFill>
    </fill>
    <fill>
      <patternFill patternType="solid">
        <fgColor rgb="FF375623"/>
        <bgColor rgb="FF375623"/>
      </patternFill>
    </fill>
    <fill>
      <patternFill patternType="solid">
        <fgColor rgb="FFF2F2F2"/>
        <bgColor rgb="FFF2F2F2"/>
      </patternFill>
    </fill>
    <fill>
      <patternFill patternType="solid">
        <fgColor rgb="FF385623"/>
        <bgColor rgb="FF385623"/>
      </patternFill>
    </fill>
    <fill>
      <patternFill patternType="solid">
        <fgColor theme="0"/>
        <bgColor theme="0"/>
      </patternFill>
    </fill>
    <fill>
      <patternFill patternType="solid">
        <fgColor rgb="FF1F3864"/>
        <bgColor rgb="FF1F3864"/>
      </patternFill>
    </fill>
    <fill>
      <patternFill patternType="solid">
        <fgColor rgb="FF203764"/>
        <bgColor rgb="FF203764"/>
      </patternFill>
    </fill>
    <fill>
      <patternFill patternType="solid">
        <fgColor rgb="FFFFFFFF"/>
        <bgColor rgb="FFFFFFFF"/>
      </patternFill>
    </fill>
    <fill>
      <patternFill patternType="solid">
        <fgColor rgb="FFA6D1E3"/>
        <bgColor rgb="FFA6D1E3"/>
      </patternFill>
    </fill>
    <fill>
      <patternFill patternType="solid">
        <fgColor rgb="FF4A86E8"/>
        <bgColor rgb="FF4A86E8"/>
      </patternFill>
    </fill>
    <fill>
      <patternFill patternType="solid">
        <fgColor rgb="FF806000"/>
        <bgColor rgb="FF806000"/>
      </patternFill>
    </fill>
    <fill>
      <patternFill patternType="solid">
        <fgColor rgb="FF7F6000"/>
        <bgColor rgb="FF7F6000"/>
      </patternFill>
    </fill>
    <fill>
      <patternFill patternType="solid">
        <fgColor theme="8"/>
        <bgColor theme="8"/>
      </patternFill>
    </fill>
    <fill>
      <patternFill patternType="solid">
        <fgColor rgb="FFFFFF00"/>
        <bgColor rgb="FFFFFF00"/>
      </patternFill>
    </fill>
    <fill>
      <patternFill patternType="solid">
        <fgColor rgb="FFC00000"/>
        <bgColor rgb="FFC00000"/>
      </patternFill>
    </fill>
  </fills>
  <borders count="73">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A8D08D"/>
      </left>
      <right style="thin">
        <color rgb="FF000000"/>
      </right>
      <top style="thin">
        <color rgb="FFA8D08D"/>
      </top>
      <bottom style="thin">
        <color rgb="FFA8D08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FFC000"/>
      </left>
      <top/>
      <bottom/>
    </border>
    <border>
      <top/>
      <bottom/>
    </border>
    <border>
      <right/>
      <top/>
      <bottom/>
    </border>
    <border>
      <left style="thin">
        <color rgb="FFA8D08D"/>
      </left>
      <top style="thin">
        <color rgb="FFA8D08D"/>
      </top>
      <bottom style="thin">
        <color rgb="FFA8D08D"/>
      </bottom>
    </border>
    <border>
      <right style="thin">
        <color rgb="FFA8D08D"/>
      </right>
      <top style="thin">
        <color rgb="FFA8D08D"/>
      </top>
      <bottom style="thin">
        <color rgb="FFA8D08D"/>
      </bottom>
    </border>
    <border>
      <top style="thin">
        <color rgb="FFFFC000"/>
      </top>
    </border>
    <border>
      <left style="thin">
        <color rgb="FF757070"/>
      </left>
      <top style="thin">
        <color rgb="FF757070"/>
      </top>
      <bottom style="thin">
        <color rgb="FF757070"/>
      </bottom>
    </border>
    <border>
      <top style="thin">
        <color rgb="FF757070"/>
      </top>
      <bottom style="thin">
        <color rgb="FF757070"/>
      </bottom>
    </border>
    <border>
      <right style="thin">
        <color rgb="FF757070"/>
      </right>
      <top style="thin">
        <color rgb="FF757070"/>
      </top>
      <bottom style="thin">
        <color rgb="FF757070"/>
      </bottom>
    </border>
    <border>
      <left style="thin">
        <color rgb="FF757070"/>
      </left>
      <right style="thin">
        <color rgb="FF757070"/>
      </right>
      <top style="thin">
        <color rgb="FF757070"/>
      </top>
    </border>
    <border>
      <top style="thin">
        <color rgb="FFA8D08D"/>
      </top>
      <bottom style="thin">
        <color rgb="FFA8D08D"/>
      </bottom>
    </border>
    <border>
      <left style="thin">
        <color rgb="FF757070"/>
      </left>
      <right style="thin">
        <color rgb="FF757070"/>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bottom style="thin">
        <color rgb="FF757070"/>
      </bottom>
    </border>
    <border>
      <left style="thin">
        <color rgb="FFA8D08D"/>
      </left>
      <right style="thin">
        <color rgb="FFA8D08D"/>
      </right>
      <top style="thin">
        <color rgb="FFA8D08D"/>
      </top>
    </border>
    <border>
      <left style="thin">
        <color rgb="FFA8D08D"/>
      </left>
      <top style="thin">
        <color rgb="FFA8D08D"/>
      </top>
    </border>
    <border>
      <right style="thin">
        <color rgb="FFA8D08D"/>
      </right>
      <top style="thin">
        <color rgb="FFA8D08D"/>
      </top>
    </border>
    <border>
      <top style="thin">
        <color rgb="FF757070"/>
      </top>
    </border>
    <border>
      <right style="thin">
        <color rgb="FF385623"/>
      </right>
    </border>
    <border>
      <left style="thin">
        <color rgb="FF385623"/>
      </left>
      <right/>
      <top style="thin">
        <color rgb="FF385623"/>
      </top>
      <bottom/>
    </border>
    <border>
      <left style="thin">
        <color rgb="FF000000"/>
      </left>
      <top style="thin">
        <color rgb="FF000000"/>
      </top>
      <bottom/>
    </border>
    <border>
      <right style="thin">
        <color rgb="FF000000"/>
      </right>
      <top style="thin">
        <color rgb="FF000000"/>
      </top>
      <bottom/>
    </border>
    <border>
      <left style="thin">
        <color rgb="FF385623"/>
      </left>
      <right/>
      <top/>
      <bottom style="thin">
        <color rgb="FF385623"/>
      </bottom>
    </border>
    <border>
      <left style="thin">
        <color rgb="FF385623"/>
      </left>
      <right/>
      <top style="thin">
        <color theme="0"/>
      </top>
      <bottom style="thin">
        <color rgb="FF385623"/>
      </bottom>
    </border>
    <border>
      <left style="thin">
        <color rgb="FF385623"/>
      </left>
      <right/>
      <top style="thin">
        <color theme="0"/>
      </top>
      <bottom/>
    </border>
    <border>
      <left/>
      <top/>
      <bottom/>
    </border>
    <border>
      <left style="thin">
        <color rgb="FF7F6000"/>
      </left>
      <right/>
      <top style="thin">
        <color rgb="FF7F6000"/>
      </top>
      <bottom/>
    </border>
    <border>
      <left style="thin">
        <color rgb="FF7F6000"/>
      </left>
      <top style="thin">
        <color rgb="FF7F6000"/>
      </top>
      <bottom style="thin">
        <color rgb="FF7F6000"/>
      </bottom>
    </border>
    <border>
      <right style="thin">
        <color rgb="FF7F6000"/>
      </right>
      <top style="thin">
        <color rgb="FF7F6000"/>
      </top>
      <bottom style="thin">
        <color rgb="FF7F6000"/>
      </bottom>
    </border>
    <border>
      <left style="thin">
        <color rgb="FF7F6000"/>
      </left>
      <right/>
      <top style="thin">
        <color theme="0"/>
      </top>
      <bottom/>
    </border>
    <border>
      <right style="thin">
        <color rgb="FF757070"/>
      </right>
    </border>
    <border>
      <right style="thin">
        <color rgb="FF757070"/>
      </right>
      <top style="thin">
        <color rgb="FF757070"/>
      </top>
    </border>
    <border>
      <left style="thin">
        <color rgb="FF7F6000"/>
      </left>
      <right style="thin">
        <color rgb="FF7F6000"/>
      </right>
      <top style="thin">
        <color rgb="FF7F6000"/>
      </top>
      <bottom/>
    </border>
    <border>
      <top style="thin">
        <color rgb="FF7F6000"/>
      </top>
      <bottom style="thin">
        <color rgb="FF7F6000"/>
      </bottom>
    </border>
    <border>
      <left style="thin">
        <color rgb="FF7F6000"/>
      </left>
      <right style="thin">
        <color rgb="FF7F6000"/>
      </right>
      <top style="thin">
        <color theme="0"/>
      </top>
      <bottom/>
    </border>
    <border>
      <right style="thin">
        <color rgb="FFFEF2CB"/>
      </right>
    </border>
    <border>
      <left style="thin">
        <color rgb="FF7F6000"/>
      </left>
      <right style="thin">
        <color rgb="FF757070"/>
      </right>
    </border>
    <border>
      <top style="thin">
        <color rgb="FF7F6000"/>
      </top>
    </border>
    <border>
      <right style="thin">
        <color rgb="FF7F6000"/>
      </right>
      <top style="thin">
        <color rgb="FF7F6000"/>
      </top>
    </border>
    <border>
      <left style="thin">
        <color rgb="FF7F6000"/>
      </left>
      <right style="thin">
        <color rgb="FF7F6000"/>
      </right>
      <top style="thin">
        <color theme="0"/>
      </top>
      <bottom style="thin">
        <color rgb="FF000000"/>
      </bottom>
    </border>
    <border>
      <top style="thin">
        <color rgb="FF7F6000"/>
      </top>
      <bottom style="thin">
        <color rgb="FF000000"/>
      </bottom>
    </border>
    <border>
      <right style="thin">
        <color rgb="FF7F6000"/>
      </right>
      <top style="thin">
        <color rgb="FF7F6000"/>
      </top>
      <bottom style="thin">
        <color rgb="FF000000"/>
      </bottom>
    </border>
    <border>
      <right style="thin">
        <color rgb="FF7F6000"/>
      </right>
    </border>
    <border>
      <left style="thin">
        <color rgb="FF7F6000"/>
      </left>
      <right style="thin">
        <color rgb="FF7F6000"/>
      </right>
      <top/>
      <bottom/>
    </border>
    <border>
      <left style="thin">
        <color rgb="FF2E75B5"/>
      </left>
      <top style="thin">
        <color rgb="FF2E75B5"/>
      </top>
      <bottom/>
    </border>
    <border>
      <top style="thin">
        <color rgb="FF2E75B5"/>
      </top>
      <bottom/>
    </border>
    <border>
      <right/>
      <top style="thin">
        <color rgb="FF2E75B5"/>
      </top>
      <bottom/>
    </border>
    <border>
      <left style="thin">
        <color rgb="FF2E75B5"/>
      </left>
    </border>
    <border>
      <top style="thin">
        <color rgb="FF2E75B5"/>
      </top>
    </border>
    <border>
      <left style="thin">
        <color rgb="FF2E75B5"/>
      </left>
      <right/>
      <top style="thin">
        <color rgb="FF2E75B5"/>
      </top>
      <bottom style="thin">
        <color rgb="FF2E75B5"/>
      </bottom>
    </border>
    <border>
      <left style="thin">
        <color rgb="FF2E75B5"/>
      </left>
      <right/>
      <top style="thin">
        <color rgb="FF2E75B5"/>
      </top>
      <bottom/>
    </border>
    <border>
      <left style="thin">
        <color rgb="FF2E75B5"/>
      </left>
      <right/>
      <top/>
      <bottom/>
    </border>
    <border>
      <left style="thin">
        <color rgb="FF2E75B5"/>
      </left>
      <right/>
      <top/>
      <bottom style="thin">
        <color rgb="FF2E75B5"/>
      </bottom>
    </border>
    <border>
      <left style="thin">
        <color rgb="FF000000"/>
      </left>
      <right/>
      <top style="thin">
        <color rgb="FF000000"/>
      </top>
      <bottom/>
    </border>
    <border>
      <left style="thin">
        <color rgb="FFA8D08D"/>
      </left>
      <top style="thin">
        <color rgb="FFA8D08D"/>
      </top>
      <bottom style="thin">
        <color rgb="FF000000"/>
      </bottom>
    </border>
    <border>
      <right style="thin">
        <color rgb="FFA8D08D"/>
      </right>
      <top style="thin">
        <color rgb="FFA8D08D"/>
      </top>
      <bottom style="thin">
        <color rgb="FF000000"/>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5" fillId="0" fontId="2" numFmtId="0" xfId="0" applyBorder="1" applyFont="1"/>
    <xf borderId="6" fillId="0" fontId="2" numFmtId="0" xfId="0" applyBorder="1" applyFont="1"/>
    <xf borderId="4" fillId="0" fontId="3" numFmtId="0" xfId="0" applyAlignment="1" applyBorder="1" applyFont="1">
      <alignment horizontal="center" vertical="center"/>
    </xf>
    <xf borderId="7" fillId="0" fontId="3" numFmtId="0" xfId="0" applyAlignment="1" applyBorder="1" applyFont="1">
      <alignment shrinkToFit="0" vertical="center" wrapText="1"/>
    </xf>
    <xf borderId="8"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9" fillId="0" fontId="4" numFmtId="0" xfId="0" applyAlignment="1" applyBorder="1" applyFont="1">
      <alignment horizontal="center" vertical="center"/>
    </xf>
    <xf borderId="9" fillId="0" fontId="3" numFmtId="0" xfId="0" applyAlignment="1" applyBorder="1" applyFont="1">
      <alignment shrinkToFit="0" vertical="center" wrapText="1"/>
    </xf>
    <xf borderId="10" fillId="0" fontId="2" numFmtId="0" xfId="0" applyBorder="1" applyFont="1"/>
    <xf borderId="11" fillId="0" fontId="2" numFmtId="0" xfId="0" applyBorder="1" applyFont="1"/>
    <xf borderId="8" fillId="3" fontId="5" numFmtId="0" xfId="0" applyAlignment="1" applyBorder="1" applyFill="1" applyFont="1">
      <alignment horizontal="center" textRotation="90" vertical="center"/>
    </xf>
    <xf borderId="9" fillId="0" fontId="3" numFmtId="0" xfId="0" applyAlignment="1" applyBorder="1" applyFont="1">
      <alignment horizontal="center" vertical="center"/>
    </xf>
    <xf borderId="9" fillId="0" fontId="3" numFmtId="0" xfId="0" applyAlignment="1" applyBorder="1" applyFont="1">
      <alignment horizontal="left" shrinkToFit="0" vertical="center" wrapText="1"/>
    </xf>
    <xf borderId="9" fillId="0" fontId="6" numFmtId="0" xfId="0" applyAlignment="1" applyBorder="1" applyFont="1">
      <alignment horizontal="center" shrinkToFit="0" vertical="center" wrapText="1"/>
    </xf>
    <xf borderId="0" fillId="0" fontId="3" numFmtId="0" xfId="0" applyAlignment="1" applyFont="1">
      <alignment vertical="top"/>
    </xf>
    <xf borderId="8" fillId="0" fontId="3" numFmtId="0" xfId="0" applyAlignment="1" applyBorder="1" applyFont="1">
      <alignment horizontal="left" shrinkToFit="0" vertical="center" wrapText="1"/>
    </xf>
    <xf borderId="0" fillId="0" fontId="3" numFmtId="9" xfId="0" applyAlignment="1" applyFont="1" applyNumberFormat="1">
      <alignment horizontal="center"/>
    </xf>
    <xf borderId="9" fillId="0" fontId="3" numFmtId="1" xfId="0" applyAlignment="1" applyBorder="1" applyFont="1" applyNumberFormat="1">
      <alignment horizontal="center" vertical="center"/>
    </xf>
    <xf borderId="9" fillId="0" fontId="7" numFmtId="0" xfId="0" applyAlignment="1" applyBorder="1" applyFont="1">
      <alignment horizontal="left" shrinkToFit="0" wrapText="1"/>
    </xf>
    <xf borderId="9" fillId="0" fontId="3" numFmtId="164" xfId="0" applyAlignment="1" applyBorder="1" applyFont="1" applyNumberFormat="1">
      <alignment horizontal="center" shrinkToFit="0" vertical="center" wrapText="1"/>
    </xf>
    <xf borderId="9" fillId="0" fontId="8" numFmtId="0" xfId="0" applyAlignment="1" applyBorder="1" applyFont="1">
      <alignment horizontal="left" shrinkToFit="0" wrapText="1"/>
    </xf>
    <xf borderId="0" fillId="0" fontId="9" numFmtId="0" xfId="0" applyAlignment="1" applyFont="1">
      <alignment vertical="center"/>
    </xf>
    <xf borderId="9" fillId="0" fontId="10" numFmtId="0" xfId="0" applyAlignment="1" applyBorder="1" applyFont="1">
      <alignment horizontal="left" shrinkToFit="0" wrapText="1"/>
    </xf>
    <xf borderId="0" fillId="0" fontId="3" numFmtId="0" xfId="0" applyAlignment="1" applyFont="1">
      <alignment shrinkToFit="0" vertical="center" wrapText="1"/>
    </xf>
    <xf borderId="0" fillId="0" fontId="11" numFmtId="9" xfId="0" applyFont="1" applyNumberFormat="1"/>
    <xf borderId="9" fillId="0" fontId="3" numFmtId="10" xfId="0" applyAlignment="1" applyBorder="1" applyFont="1" applyNumberFormat="1">
      <alignment horizontal="center" vertical="center"/>
    </xf>
    <xf borderId="4" fillId="0" fontId="3" numFmtId="0" xfId="0" applyAlignment="1" applyBorder="1" applyFont="1">
      <alignment horizontal="center" shrinkToFit="0" vertical="center" wrapText="1"/>
    </xf>
    <xf borderId="9" fillId="0" fontId="12" numFmtId="0" xfId="0" applyAlignment="1" applyBorder="1" applyFont="1">
      <alignment horizontal="left" shrinkToFit="0" wrapText="1"/>
    </xf>
    <xf borderId="9" fillId="0" fontId="3" numFmtId="0" xfId="0" applyAlignment="1" applyBorder="1" applyFont="1">
      <alignment horizontal="left" shrinkToFit="0" wrapText="1"/>
    </xf>
    <xf borderId="0" fillId="0" fontId="3" numFmtId="0" xfId="0" applyAlignment="1" applyFont="1">
      <alignment horizontal="left" shrinkToFit="0" vertical="center" wrapText="1"/>
    </xf>
    <xf borderId="4" fillId="0" fontId="12" numFmtId="0" xfId="0" applyAlignment="1" applyBorder="1" applyFont="1">
      <alignment horizontal="center" vertical="center"/>
    </xf>
    <xf borderId="9" fillId="0" fontId="12" numFmtId="0" xfId="0" applyAlignment="1" applyBorder="1" applyFont="1">
      <alignment horizontal="left" shrinkToFit="0" vertical="center" wrapText="1"/>
    </xf>
    <xf borderId="0" fillId="0" fontId="3" numFmtId="0" xfId="0" applyAlignment="1" applyFont="1">
      <alignment horizontal="left" shrinkToFit="0" wrapText="1"/>
    </xf>
    <xf borderId="8" fillId="0" fontId="3" numFmtId="0" xfId="0" applyAlignment="1" applyBorder="1" applyFont="1">
      <alignment horizontal="center" vertical="center"/>
    </xf>
    <xf borderId="12" fillId="0" fontId="12" numFmtId="0" xfId="0" applyAlignment="1" applyBorder="1" applyFont="1">
      <alignment horizontal="center" vertical="center"/>
    </xf>
    <xf borderId="7" fillId="0" fontId="2" numFmtId="0" xfId="0" applyBorder="1" applyFont="1"/>
    <xf borderId="8" fillId="0" fontId="12" numFmtId="0" xfId="0" applyAlignment="1" applyBorder="1" applyFont="1">
      <alignment horizontal="left" shrinkToFit="0" vertical="center" wrapText="1"/>
    </xf>
    <xf borderId="4" fillId="0" fontId="3" numFmtId="0" xfId="0" applyAlignment="1" applyBorder="1" applyFont="1">
      <alignment horizontal="center"/>
    </xf>
    <xf borderId="9" fillId="0" fontId="3" numFmtId="0" xfId="0" applyAlignment="1" applyBorder="1" applyFont="1">
      <alignment shrinkToFit="0" wrapText="1"/>
    </xf>
    <xf borderId="9" fillId="0" fontId="3" numFmtId="0" xfId="0" applyBorder="1" applyFont="1"/>
    <xf borderId="13" fillId="0" fontId="3" numFmtId="0" xfId="0" applyAlignment="1" applyBorder="1" applyFont="1">
      <alignment horizontal="center"/>
    </xf>
    <xf borderId="14" fillId="0" fontId="2" numFmtId="0" xfId="0" applyBorder="1" applyFont="1"/>
    <xf borderId="4" fillId="0" fontId="12" numFmtId="0" xfId="0" applyAlignment="1" applyBorder="1" applyFont="1">
      <alignment horizontal="center"/>
    </xf>
    <xf borderId="9" fillId="0" fontId="13" numFmtId="9" xfId="0" applyAlignment="1" applyBorder="1" applyFont="1" applyNumberFormat="1">
      <alignment horizontal="center" vertical="center"/>
    </xf>
    <xf borderId="15" fillId="0" fontId="3" numFmtId="0" xfId="0" applyAlignment="1" applyBorder="1" applyFont="1">
      <alignment horizontal="center"/>
    </xf>
    <xf borderId="16" fillId="0" fontId="2" numFmtId="0" xfId="0" applyBorder="1" applyFont="1"/>
    <xf borderId="8" fillId="0" fontId="3" numFmtId="0" xfId="0" applyAlignment="1" applyBorder="1" applyFont="1">
      <alignment horizontal="center"/>
    </xf>
    <xf borderId="17" fillId="4" fontId="14" numFmtId="0" xfId="0" applyAlignment="1" applyBorder="1" applyFill="1" applyFont="1">
      <alignment horizontal="center" vertical="center"/>
    </xf>
    <xf borderId="18" fillId="0" fontId="2" numFmtId="0" xfId="0" applyBorder="1" applyFont="1"/>
    <xf borderId="19" fillId="0" fontId="2" numFmtId="0" xfId="0" applyBorder="1" applyFont="1"/>
    <xf borderId="20" fillId="5" fontId="1" numFmtId="0" xfId="0" applyAlignment="1" applyBorder="1" applyFill="1" applyFont="1">
      <alignment horizontal="center" vertical="center"/>
    </xf>
    <xf borderId="21" fillId="0" fontId="2" numFmtId="0" xfId="0" applyBorder="1" applyFont="1"/>
    <xf borderId="22" fillId="0" fontId="3" numFmtId="0" xfId="0" applyBorder="1" applyFont="1"/>
    <xf borderId="9" fillId="0" fontId="3" numFmtId="0" xfId="0" applyAlignment="1" applyBorder="1" applyFont="1">
      <alignment horizontal="center"/>
    </xf>
    <xf borderId="0" fillId="0" fontId="15" numFmtId="0" xfId="0" applyFont="1"/>
    <xf borderId="0" fillId="0" fontId="16" numFmtId="0" xfId="0" applyFont="1"/>
    <xf borderId="0" fillId="0" fontId="3" numFmtId="0" xfId="0" applyFont="1"/>
    <xf borderId="9" fillId="0" fontId="3" numFmtId="9" xfId="0" applyAlignment="1" applyBorder="1" applyFont="1" applyNumberFormat="1">
      <alignment horizontal="center"/>
    </xf>
    <xf borderId="0" fillId="0" fontId="15" numFmtId="0" xfId="0" applyAlignment="1" applyFont="1">
      <alignment horizontal="center"/>
    </xf>
    <xf borderId="0" fillId="0" fontId="15" numFmtId="0" xfId="0" applyAlignment="1" applyFont="1">
      <alignment horizontal="left"/>
    </xf>
    <xf borderId="23" fillId="6" fontId="17" numFmtId="0" xfId="0" applyAlignment="1" applyBorder="1" applyFill="1" applyFont="1">
      <alignment horizontal="center" vertical="center"/>
    </xf>
    <xf borderId="24" fillId="0" fontId="2" numFmtId="0" xfId="0" applyBorder="1" applyFont="1"/>
    <xf borderId="25" fillId="0" fontId="2" numFmtId="0" xfId="0" applyBorder="1" applyFont="1"/>
    <xf borderId="26" fillId="6" fontId="17" numFmtId="0" xfId="0" applyAlignment="1" applyBorder="1" applyFont="1">
      <alignment horizontal="center" vertical="center"/>
    </xf>
    <xf borderId="20" fillId="7" fontId="1" numFmtId="0" xfId="0" applyAlignment="1" applyBorder="1" applyFill="1" applyFont="1">
      <alignment horizontal="center" vertical="center"/>
    </xf>
    <xf borderId="27" fillId="0" fontId="2" numFmtId="0" xfId="0" applyBorder="1" applyFont="1"/>
    <xf borderId="0" fillId="0" fontId="17" numFmtId="0" xfId="0" applyFont="1"/>
    <xf borderId="28" fillId="6" fontId="17" numFmtId="0" xfId="0" applyAlignment="1" applyBorder="1" applyFont="1">
      <alignment horizontal="center" vertical="center"/>
    </xf>
    <xf borderId="29" fillId="6" fontId="17" numFmtId="0" xfId="0" applyAlignment="1" applyBorder="1" applyFont="1">
      <alignment horizontal="center" vertical="center"/>
    </xf>
    <xf borderId="30" fillId="0" fontId="2" numFmtId="0" xfId="0" applyBorder="1" applyFont="1"/>
    <xf borderId="0" fillId="0" fontId="17" numFmtId="0" xfId="0" applyAlignment="1" applyFont="1">
      <alignment horizontal="center" vertical="center"/>
    </xf>
    <xf borderId="31" fillId="0" fontId="3" numFmtId="0" xfId="0" applyBorder="1" applyFont="1"/>
    <xf borderId="32" fillId="0" fontId="3" numFmtId="0" xfId="0" applyBorder="1" applyFont="1"/>
    <xf borderId="33" fillId="0" fontId="2" numFmtId="0" xfId="0" applyBorder="1" applyFont="1"/>
    <xf borderId="34" fillId="0" fontId="3" numFmtId="0" xfId="0" applyBorder="1" applyFont="1"/>
    <xf borderId="35" fillId="0" fontId="3" numFmtId="0" xfId="0" applyBorder="1" applyFont="1"/>
    <xf borderId="36" fillId="7" fontId="18" numFmtId="0" xfId="0" applyAlignment="1" applyBorder="1" applyFont="1">
      <alignment horizontal="center" vertical="center"/>
    </xf>
    <xf borderId="4" fillId="0" fontId="19" numFmtId="0" xfId="0" applyAlignment="1" applyBorder="1" applyFont="1">
      <alignment shrinkToFit="0" vertical="center" wrapText="1"/>
    </xf>
    <xf borderId="0" fillId="0" fontId="12" numFmtId="0" xfId="0" applyAlignment="1" applyFont="1">
      <alignment shrinkToFit="0" vertical="center" wrapText="1"/>
    </xf>
    <xf borderId="4" fillId="0" fontId="19" numFmtId="0" xfId="0" applyAlignment="1" applyBorder="1" applyFont="1">
      <alignment shrinkToFit="0" wrapText="1"/>
    </xf>
    <xf borderId="4" fillId="0" fontId="19" numFmtId="0" xfId="0" applyAlignment="1" applyBorder="1" applyFont="1">
      <alignment horizontal="left" shrinkToFit="0" vertical="top" wrapText="1"/>
    </xf>
    <xf borderId="37" fillId="8" fontId="19" numFmtId="0" xfId="0" applyAlignment="1" applyBorder="1" applyFill="1" applyFont="1">
      <alignment shrinkToFit="0" vertical="center" wrapText="1"/>
    </xf>
    <xf borderId="38" fillId="0" fontId="2" numFmtId="0" xfId="0" applyBorder="1" applyFont="1"/>
    <xf borderId="4" fillId="0" fontId="19" numFmtId="0" xfId="0" applyAlignment="1" applyBorder="1" applyFont="1">
      <alignment horizontal="left"/>
    </xf>
    <xf borderId="9" fillId="0" fontId="3" numFmtId="0" xfId="0" applyAlignment="1" applyBorder="1" applyFont="1">
      <alignment vertical="center"/>
    </xf>
    <xf borderId="4" fillId="0" fontId="19" numFmtId="0" xfId="0" applyAlignment="1" applyBorder="1" applyFont="1">
      <alignment horizontal="left" shrinkToFit="0" wrapText="1"/>
    </xf>
    <xf borderId="13" fillId="0" fontId="19" numFmtId="0" xfId="0" applyAlignment="1" applyBorder="1" applyFont="1">
      <alignment horizontal="left"/>
    </xf>
    <xf borderId="8" fillId="0" fontId="3" numFmtId="0" xfId="0" applyAlignment="1" applyBorder="1" applyFont="1">
      <alignment vertical="center"/>
    </xf>
    <xf borderId="4" fillId="0" fontId="20" numFmtId="0" xfId="0" applyAlignment="1" applyBorder="1" applyFont="1">
      <alignment horizontal="left"/>
    </xf>
    <xf borderId="4" fillId="0" fontId="20" numFmtId="0" xfId="0" applyAlignment="1" applyBorder="1" applyFont="1">
      <alignment horizontal="left" shrinkToFit="0" wrapText="1"/>
    </xf>
    <xf borderId="9" fillId="0" fontId="3" numFmtId="2" xfId="0" applyAlignment="1" applyBorder="1" applyFont="1" applyNumberFormat="1">
      <alignment horizontal="center"/>
    </xf>
    <xf borderId="0" fillId="0" fontId="21" numFmtId="0" xfId="0" applyAlignment="1" applyFont="1">
      <alignment shrinkToFit="0" wrapText="1"/>
    </xf>
    <xf borderId="4" fillId="0" fontId="12" numFmtId="0" xfId="0" applyAlignment="1" applyBorder="1" applyFont="1">
      <alignment shrinkToFit="0" vertical="center" wrapText="1"/>
    </xf>
    <xf borderId="10" fillId="0" fontId="3" numFmtId="0" xfId="0" applyAlignment="1" applyBorder="1" applyFont="1">
      <alignment horizontal="center" vertical="center"/>
    </xf>
    <xf borderId="20" fillId="9" fontId="1" numFmtId="0" xfId="0" applyAlignment="1" applyBorder="1" applyFill="1" applyFont="1">
      <alignment horizontal="center" vertical="center"/>
    </xf>
    <xf borderId="9" fillId="10" fontId="22" numFmtId="0" xfId="0" applyAlignment="1" applyBorder="1" applyFill="1" applyFont="1">
      <alignment horizontal="center" shrinkToFit="0" vertical="center" wrapText="1"/>
    </xf>
    <xf borderId="4" fillId="0" fontId="20" numFmtId="0" xfId="0" applyAlignment="1" applyBorder="1" applyFont="1">
      <alignment shrinkToFit="0" vertical="center" wrapText="1"/>
    </xf>
    <xf borderId="4" fillId="0" fontId="20" numFmtId="0" xfId="0" applyAlignment="1" applyBorder="1" applyFont="1">
      <alignment shrinkToFit="0" wrapText="1"/>
    </xf>
    <xf borderId="4" fillId="11" fontId="20" numFmtId="0" xfId="0" applyAlignment="1" applyBorder="1" applyFill="1" applyFont="1">
      <alignment shrinkToFit="0" vertical="center" wrapText="1"/>
    </xf>
    <xf borderId="11" fillId="0" fontId="3" numFmtId="0" xfId="0" applyAlignment="1" applyBorder="1" applyFont="1">
      <alignment horizontal="center" vertical="center"/>
    </xf>
    <xf borderId="11" fillId="0" fontId="3" numFmtId="0" xfId="0" applyAlignment="1" applyBorder="1" applyFont="1">
      <alignment vertical="center"/>
    </xf>
    <xf borderId="39" fillId="10" fontId="18" numFmtId="0" xfId="0" applyAlignment="1" applyBorder="1" applyFont="1">
      <alignment horizontal="center" vertical="center"/>
    </xf>
    <xf borderId="15" fillId="0" fontId="19" numFmtId="0" xfId="0" applyAlignment="1" applyBorder="1" applyFont="1">
      <alignment shrinkToFit="0" vertical="center" wrapText="1"/>
    </xf>
    <xf borderId="40" fillId="10" fontId="18" numFmtId="0" xfId="0" applyAlignment="1" applyBorder="1" applyFont="1">
      <alignment horizontal="center" vertical="center"/>
    </xf>
    <xf borderId="36" fillId="10" fontId="18" numFmtId="0" xfId="0" applyAlignment="1" applyBorder="1" applyFont="1">
      <alignment horizontal="center" vertical="center"/>
    </xf>
    <xf borderId="41" fillId="10" fontId="18" numFmtId="0" xfId="0" applyAlignment="1" applyBorder="1" applyFont="1">
      <alignment horizontal="center" vertical="center"/>
    </xf>
    <xf borderId="15" fillId="0" fontId="19" numFmtId="0" xfId="0" applyAlignment="1" applyBorder="1" applyFont="1">
      <alignment horizontal="left"/>
    </xf>
    <xf borderId="9" fillId="10" fontId="18" numFmtId="0" xfId="0" applyAlignment="1" applyBorder="1" applyFont="1">
      <alignment horizontal="center" vertical="center"/>
    </xf>
    <xf borderId="4" fillId="0" fontId="3" numFmtId="0" xfId="0" applyBorder="1" applyFont="1"/>
    <xf borderId="4" fillId="0" fontId="3" numFmtId="0" xfId="0" applyAlignment="1" applyBorder="1" applyFont="1">
      <alignment horizontal="left" shrinkToFit="0" wrapText="1"/>
    </xf>
    <xf borderId="8" fillId="0" fontId="3" numFmtId="0" xfId="0" applyBorder="1" applyFont="1"/>
    <xf borderId="0" fillId="0" fontId="23" numFmtId="0" xfId="0" applyAlignment="1" applyFont="1">
      <alignment readingOrder="0"/>
    </xf>
    <xf borderId="42" fillId="12" fontId="9" numFmtId="0" xfId="0" applyAlignment="1" applyBorder="1" applyFill="1" applyFont="1">
      <alignment horizontal="center" vertical="center"/>
    </xf>
    <xf borderId="0" fillId="0" fontId="24" numFmtId="0" xfId="0" applyAlignment="1" applyFont="1">
      <alignment horizontal="left" vertical="center"/>
    </xf>
    <xf borderId="0" fillId="0" fontId="14" numFmtId="0" xfId="0" applyAlignment="1" applyFont="1">
      <alignment vertical="center"/>
    </xf>
    <xf borderId="24" fillId="0" fontId="3" numFmtId="0" xfId="0" applyBorder="1" applyFont="1"/>
    <xf borderId="43" fillId="12" fontId="20" numFmtId="0" xfId="0" applyAlignment="1" applyBorder="1" applyFont="1">
      <alignment horizontal="center" vertical="center"/>
    </xf>
    <xf borderId="44" fillId="0" fontId="25" numFmtId="0" xfId="0" applyAlignment="1" applyBorder="1" applyFont="1">
      <alignment shrinkToFit="0" vertical="center" wrapText="1"/>
    </xf>
    <xf borderId="45" fillId="0" fontId="2" numFmtId="0" xfId="0" applyBorder="1" applyFont="1"/>
    <xf borderId="28" fillId="0" fontId="3" numFmtId="0" xfId="0" applyBorder="1" applyFont="1"/>
    <xf borderId="28" fillId="0" fontId="3" numFmtId="0" xfId="0" applyAlignment="1" applyBorder="1" applyFont="1">
      <alignment horizontal="center" vertical="center"/>
    </xf>
    <xf borderId="25" fillId="0" fontId="3" numFmtId="0" xfId="0" applyBorder="1" applyFont="1"/>
    <xf borderId="46" fillId="12" fontId="20" numFmtId="0" xfId="0" applyAlignment="1" applyBorder="1" applyFont="1">
      <alignment horizontal="center" vertical="center"/>
    </xf>
    <xf borderId="47" fillId="0" fontId="12" numFmtId="0" xfId="0" applyAlignment="1" applyBorder="1" applyFont="1">
      <alignment shrinkToFit="0" vertical="center" wrapText="1"/>
    </xf>
    <xf borderId="44" fillId="0" fontId="25" numFmtId="0" xfId="0" applyAlignment="1" applyBorder="1" applyFont="1">
      <alignment horizontal="left" shrinkToFit="0" vertical="center" wrapText="1"/>
    </xf>
    <xf borderId="44" fillId="0" fontId="16" numFmtId="0" xfId="0" applyAlignment="1" applyBorder="1" applyFont="1">
      <alignment horizontal="left" shrinkToFit="0" vertical="center" wrapText="1"/>
    </xf>
    <xf borderId="26" fillId="0" fontId="3" numFmtId="0" xfId="0" applyBorder="1" applyFont="1"/>
    <xf borderId="26" fillId="0" fontId="3" numFmtId="0" xfId="0" applyAlignment="1" applyBorder="1" applyFont="1">
      <alignment horizontal="center" vertical="center"/>
    </xf>
    <xf borderId="48" fillId="0" fontId="3" numFmtId="0" xfId="0" applyBorder="1" applyFont="1"/>
    <xf borderId="42" fillId="13" fontId="9" numFmtId="0" xfId="0" applyAlignment="1" applyBorder="1" applyFill="1" applyFont="1">
      <alignment horizontal="center" vertical="center"/>
    </xf>
    <xf borderId="9" fillId="13" fontId="26" numFmtId="0" xfId="0" applyAlignment="1" applyBorder="1" applyFont="1">
      <alignment horizontal="right"/>
    </xf>
    <xf borderId="9" fillId="0" fontId="26" numFmtId="0" xfId="0" applyBorder="1" applyFont="1"/>
    <xf borderId="9" fillId="0" fontId="25" numFmtId="0" xfId="0" applyAlignment="1" applyBorder="1" applyFont="1">
      <alignment shrinkToFit="0" vertical="center" wrapText="1"/>
    </xf>
    <xf borderId="9" fillId="0" fontId="25" numFmtId="0" xfId="0" applyAlignment="1" applyBorder="1" applyFont="1">
      <alignment horizontal="left" shrinkToFit="0" vertical="center" wrapText="1"/>
    </xf>
    <xf borderId="9" fillId="0" fontId="16" numFmtId="0" xfId="0" applyAlignment="1" applyBorder="1" applyFont="1">
      <alignment horizontal="left" shrinkToFit="0" vertical="center" wrapText="1"/>
    </xf>
    <xf borderId="11" fillId="0" fontId="16" numFmtId="0" xfId="0" applyAlignment="1" applyBorder="1" applyFont="1">
      <alignment horizontal="left" shrinkToFit="0" vertical="center" wrapText="1"/>
    </xf>
    <xf borderId="20" fillId="14" fontId="1" numFmtId="0" xfId="0" applyAlignment="1" applyBorder="1" applyFill="1" applyFont="1">
      <alignment horizontal="center" vertical="center"/>
    </xf>
    <xf borderId="42" fillId="15" fontId="1" numFmtId="0" xfId="0" applyAlignment="1" applyBorder="1" applyFill="1" applyFont="1">
      <alignment horizontal="center" vertical="center"/>
    </xf>
    <xf borderId="49" fillId="15" fontId="18" numFmtId="0" xfId="0" applyAlignment="1" applyBorder="1" applyFont="1">
      <alignment horizontal="center" vertical="center"/>
    </xf>
    <xf borderId="50" fillId="0" fontId="25" numFmtId="0" xfId="0" applyAlignment="1" applyBorder="1" applyFont="1">
      <alignment shrinkToFit="0" vertical="center" wrapText="1"/>
    </xf>
    <xf borderId="28" fillId="0" fontId="3" numFmtId="0" xfId="0" applyAlignment="1" applyBorder="1" applyFont="1">
      <alignment horizontal="center"/>
    </xf>
    <xf borderId="51" fillId="15" fontId="18" numFmtId="0" xfId="0" applyAlignment="1" applyBorder="1" applyFont="1">
      <alignment horizontal="center" vertical="center"/>
    </xf>
    <xf borderId="0" fillId="0" fontId="25" numFmtId="0" xfId="0" applyAlignment="1" applyFont="1">
      <alignment shrinkToFit="0" vertical="center" wrapText="1"/>
    </xf>
    <xf borderId="52" fillId="0" fontId="2" numFmtId="0" xfId="0" applyBorder="1" applyFont="1"/>
    <xf borderId="53" fillId="0" fontId="12" numFmtId="0" xfId="0" applyAlignment="1" applyBorder="1" applyFont="1">
      <alignment shrinkToFit="0" vertical="center" wrapText="1"/>
    </xf>
    <xf borderId="54" fillId="0" fontId="25" numFmtId="0" xfId="0" applyAlignment="1" applyBorder="1" applyFont="1">
      <alignment horizontal="left" shrinkToFit="0" vertical="center" wrapText="1"/>
    </xf>
    <xf borderId="55" fillId="0" fontId="2" numFmtId="0" xfId="0" applyBorder="1" applyFont="1"/>
    <xf borderId="54" fillId="0" fontId="16" numFmtId="0" xfId="0" applyAlignment="1" applyBorder="1" applyFont="1">
      <alignment horizontal="left" shrinkToFit="0" vertical="center" wrapText="1"/>
    </xf>
    <xf borderId="56" fillId="15" fontId="18" numFmtId="0" xfId="0" applyAlignment="1" applyBorder="1" applyFont="1">
      <alignment horizontal="center" vertical="center"/>
    </xf>
    <xf borderId="57" fillId="0" fontId="25" numFmtId="0" xfId="0" applyAlignment="1" applyBorder="1" applyFont="1">
      <alignment horizontal="left" shrinkToFit="0" vertical="center" wrapText="1"/>
    </xf>
    <xf borderId="58" fillId="0" fontId="2" numFmtId="0" xfId="0" applyBorder="1" applyFont="1"/>
    <xf borderId="42" fillId="16" fontId="9" numFmtId="0" xfId="0" applyAlignment="1" applyBorder="1" applyFill="1" applyFont="1">
      <alignment horizontal="center" vertical="center"/>
    </xf>
    <xf borderId="9" fillId="16" fontId="3" numFmtId="0" xfId="0" applyAlignment="1" applyBorder="1" applyFont="1">
      <alignment horizontal="center"/>
    </xf>
    <xf borderId="50" fillId="0" fontId="16" numFmtId="0" xfId="0" applyAlignment="1" applyBorder="1" applyFont="1">
      <alignment horizontal="left" shrinkToFit="0" vertical="center" wrapText="1"/>
    </xf>
    <xf borderId="59" fillId="0" fontId="2" numFmtId="0" xfId="0" applyBorder="1" applyFont="1"/>
    <xf borderId="54" fillId="0" fontId="25" numFmtId="0" xfId="0" applyAlignment="1" applyBorder="1" applyFont="1">
      <alignment shrinkToFit="0" vertical="center" wrapText="1"/>
    </xf>
    <xf borderId="50" fillId="0" fontId="2" numFmtId="0" xfId="0" applyBorder="1" applyFont="1"/>
    <xf borderId="9" fillId="0" fontId="19" numFmtId="0" xfId="0" applyAlignment="1" applyBorder="1" applyFont="1">
      <alignment shrinkToFit="0" vertical="center" wrapText="1"/>
    </xf>
    <xf borderId="46" fillId="15" fontId="18" numFmtId="0" xfId="0" applyAlignment="1" applyBorder="1" applyFont="1">
      <alignment horizontal="center" vertical="center"/>
    </xf>
    <xf borderId="4" fillId="0" fontId="25" numFmtId="0" xfId="0" applyAlignment="1" applyBorder="1" applyFont="1">
      <alignment shrinkToFit="0" vertical="center" wrapText="1"/>
    </xf>
    <xf borderId="0" fillId="0" fontId="25" numFmtId="0" xfId="0" applyAlignment="1" applyFont="1">
      <alignment horizontal="left" shrinkToFit="0" vertical="center" wrapText="1"/>
    </xf>
    <xf borderId="60" fillId="15" fontId="18" numFmtId="0" xfId="0" applyAlignment="1" applyBorder="1" applyFont="1">
      <alignment horizontal="center" vertical="center"/>
    </xf>
    <xf borderId="57" fillId="0" fontId="25" numFmtId="0" xfId="0" applyAlignment="1" applyBorder="1" applyFont="1">
      <alignment shrinkToFit="0" vertical="center" wrapText="1"/>
    </xf>
    <xf borderId="0" fillId="0" fontId="20" numFmtId="0" xfId="0" applyFont="1"/>
    <xf borderId="20" fillId="17" fontId="1" numFmtId="0" xfId="0" applyAlignment="1" applyBorder="1" applyFill="1" applyFont="1">
      <alignment horizontal="center" vertical="center"/>
    </xf>
    <xf borderId="0" fillId="0" fontId="9" numFmtId="0" xfId="0" applyFont="1"/>
    <xf borderId="61" fillId="17" fontId="9" numFmtId="0" xfId="0" applyAlignment="1" applyBorder="1" applyFont="1">
      <alignment horizontal="center" vertical="center"/>
    </xf>
    <xf borderId="62" fillId="0" fontId="2" numFmtId="0" xfId="0" applyBorder="1" applyFont="1"/>
    <xf borderId="63" fillId="0" fontId="2" numFmtId="0" xfId="0" applyBorder="1" applyFont="1"/>
    <xf borderId="64" fillId="0" fontId="17" numFmtId="0" xfId="0" applyBorder="1" applyFont="1"/>
    <xf borderId="65" fillId="0" fontId="3" numFmtId="0" xfId="0" applyBorder="1" applyFont="1"/>
    <xf borderId="65" fillId="0" fontId="2" numFmtId="0" xfId="0" applyBorder="1" applyFont="1"/>
    <xf borderId="66" fillId="17" fontId="20" numFmtId="0" xfId="0" applyAlignment="1" applyBorder="1" applyFont="1">
      <alignment horizontal="center"/>
    </xf>
    <xf borderId="67" fillId="17" fontId="20" numFmtId="0" xfId="0" applyAlignment="1" applyBorder="1" applyFont="1">
      <alignment horizontal="center"/>
    </xf>
    <xf borderId="68" fillId="17" fontId="20" numFmtId="0" xfId="0" applyAlignment="1" applyBorder="1" applyFont="1">
      <alignment horizontal="center"/>
    </xf>
    <xf borderId="4" fillId="0" fontId="19" numFmtId="0" xfId="0" applyAlignment="1" applyBorder="1" applyFont="1">
      <alignment horizontal="left" shrinkToFit="0" vertical="center" wrapText="1"/>
    </xf>
    <xf borderId="1" fillId="17" fontId="20" numFmtId="0" xfId="0" applyAlignment="1" applyBorder="1" applyFont="1">
      <alignment horizontal="center"/>
    </xf>
    <xf borderId="69" fillId="17" fontId="20" numFmtId="0" xfId="0" applyAlignment="1" applyBorder="1" applyFont="1">
      <alignment horizontal="center"/>
    </xf>
    <xf borderId="4" fillId="0" fontId="19" numFmtId="0" xfId="0" applyAlignment="1" applyBorder="1" applyFont="1">
      <alignment horizontal="left" vertical="center"/>
    </xf>
    <xf borderId="70" fillId="17" fontId="20" numFmtId="0" xfId="0" applyAlignment="1" applyBorder="1" applyFont="1">
      <alignment horizontal="center"/>
    </xf>
    <xf borderId="20" fillId="18" fontId="1" numFmtId="0" xfId="0" applyAlignment="1" applyBorder="1" applyFill="1" applyFont="1">
      <alignment horizontal="center" vertical="center"/>
    </xf>
    <xf borderId="71" fillId="8" fontId="27" numFmtId="0" xfId="0" applyBorder="1" applyFont="1"/>
    <xf borderId="72" fillId="0" fontId="2" numFmtId="0" xfId="0" applyBorder="1" applyFont="1"/>
    <xf borderId="36" fillId="18" fontId="18"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externalLink" Target="externalLinks/externalLink3.xml"/><Relationship Id="rId22" Type="http://schemas.openxmlformats.org/officeDocument/2006/relationships/externalLink" Target="externalLinks/externalLink5.xml"/><Relationship Id="rId21" Type="http://schemas.openxmlformats.org/officeDocument/2006/relationships/externalLink" Target="externalLinks/externalLink4.xml"/><Relationship Id="rId24" Type="http://schemas.openxmlformats.org/officeDocument/2006/relationships/externalLink" Target="externalLinks/externalLink7.xml"/><Relationship Id="rId23" Type="http://schemas.openxmlformats.org/officeDocument/2006/relationships/externalLink" Target="externalLinks/externalLink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externalLink" Target="externalLinks/externalLink8.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externalLink" Target="externalLinks/externalLink2.xml"/><Relationship Id="rId18" Type="http://schemas.openxmlformats.org/officeDocument/2006/relationships/externalLink" Target="externalLinks/externalLink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División de requerimientos</a:t>
            </a:r>
          </a:p>
        </c:rich>
      </c:tx>
      <c:overlay val="0"/>
    </c:title>
    <c:plotArea>
      <c:layout/>
      <c:pieChart>
        <c:varyColors val="1"/>
        <c:ser>
          <c:idx val="0"/>
          <c:order val="0"/>
          <c:dPt>
            <c:idx val="0"/>
            <c:spPr>
              <a:solidFill>
                <a:schemeClr val="accent1"/>
              </a:solidFill>
            </c:spPr>
          </c:dPt>
          <c:dPt>
            <c:idx val="1"/>
            <c:spPr>
              <a:solidFill>
                <a:schemeClr val="accent2"/>
              </a:solidFill>
            </c:spPr>
          </c:dPt>
          <c:dLbls>
            <c:showLegendKey val="0"/>
            <c:showVal val="0"/>
            <c:showCatName val="0"/>
            <c:showSerName val="0"/>
            <c:showPercent val="1"/>
            <c:showBubbleSize val="0"/>
            <c:showLeaderLines val="1"/>
          </c:dLbls>
          <c:cat>
            <c:strRef>
              <c:f>'Conceptos técnicos'!$N$4:$N$5</c:f>
            </c:strRef>
          </c:cat>
          <c:val>
            <c:numRef>
              <c:f>'Conceptos técnicos'!$O$4:$O$5</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Porcentaje de cumplimiento</a:t>
            </a:r>
          </a:p>
        </c:rich>
      </c:tx>
      <c:overlay val="0"/>
    </c:title>
    <c:plotArea>
      <c:layout/>
      <c:pieChart>
        <c:varyColors val="1"/>
        <c:ser>
          <c:idx val="0"/>
          <c:order val="0"/>
          <c:dPt>
            <c:idx val="0"/>
            <c:spPr>
              <a:solidFill>
                <a:schemeClr val="accent1"/>
              </a:solidFill>
            </c:spPr>
          </c:dPt>
          <c:dPt>
            <c:idx val="1"/>
            <c:spPr>
              <a:solidFill>
                <a:schemeClr val="accent2"/>
              </a:solidFill>
            </c:spPr>
          </c:dPt>
          <c:dLbls>
            <c:showLegendKey val="0"/>
            <c:showVal val="0"/>
            <c:showCatName val="0"/>
            <c:showSerName val="0"/>
            <c:showPercent val="1"/>
            <c:showBubbleSize val="0"/>
            <c:showLeaderLines val="1"/>
          </c:dLbls>
          <c:cat>
            <c:strRef>
              <c:f>'Conceptos técnicos'!$N$7:$N$8</c:f>
            </c:strRef>
          </c:cat>
          <c:val>
            <c:numRef>
              <c:f>'Conceptos técnicos'!$O$7:$O$8</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85725</xdr:colOff>
      <xdr:row>0</xdr:row>
      <xdr:rowOff>95250</xdr:rowOff>
    </xdr:from>
    <xdr:ext cx="2667000" cy="1143000"/>
    <xdr:graphicFrame>
      <xdr:nvGraphicFramePr>
        <xdr:cNvPr id="1555656208"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104775</xdr:colOff>
      <xdr:row>5</xdr:row>
      <xdr:rowOff>314325</xdr:rowOff>
    </xdr:from>
    <xdr:ext cx="2714625" cy="2238375"/>
    <xdr:graphicFrame>
      <xdr:nvGraphicFramePr>
        <xdr:cNvPr id="566103090"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Funcionales%20Usuario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uncionales%20Autenticaci&#243;n%20BE"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uncionales%20Perfil%20usuario%20FE"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No%20funcionales%20Usuario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o%20funcionales%20Pasarela%20de%20pago"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o%20funcionales%20Notificaciones%20BE"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Funcionales%20generales%20"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Funcionales%20%20generales%20FE"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uncionales Usuarios"/>
    </sheetNames>
    <sheetDataSet>
      <sheetData sheetId="0"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uncionales Autenticación BE"/>
    </sheetNames>
    <sheetDataSet>
      <sheetData sheetId="0"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uncionales Perfil usuario FE"/>
    </sheetNames>
    <sheetDataSet>
      <sheetData sheetId="0"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o funcionales Usuarios"/>
    </sheetNames>
    <sheetDataSet>
      <sheetData sheetId="0"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o funcionales Pasarela de pago"/>
    </sheetNames>
    <sheetDataSet>
      <sheetData sheetId="0"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o funcionales Notificaciones B"/>
    </sheetNames>
    <sheetDataSet>
      <sheetData sheetId="0"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uncionales generales "/>
    </sheetNames>
    <sheetDataSet>
      <sheetData sheetId="0"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uncionales  generales FE"/>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4.43" defaultRowHeight="15.0"/>
  <cols>
    <col customWidth="1" min="1" max="3" width="11.43"/>
    <col customWidth="1" min="4" max="4" width="103.14"/>
    <col customWidth="1" min="5" max="5" width="11.43"/>
    <col customWidth="1" min="6" max="6" width="25.57"/>
    <col customWidth="1" min="7" max="7" width="35.86"/>
    <col customWidth="1" min="8" max="8" width="24.0"/>
    <col customWidth="1" min="9" max="9" width="19.14"/>
    <col customWidth="1" min="10" max="10" width="30.57"/>
    <col customWidth="1" min="11" max="11" width="10.86"/>
    <col customWidth="1" min="12" max="12" width="11.43"/>
    <col customWidth="1" min="13" max="13" width="7.14"/>
    <col customWidth="1" min="14" max="14" width="27.43"/>
    <col customWidth="1" min="15" max="15" width="8.86"/>
    <col customWidth="1" min="16" max="26" width="11.43"/>
  </cols>
  <sheetData>
    <row r="2">
      <c r="B2" s="1" t="s">
        <v>0</v>
      </c>
      <c r="C2" s="2"/>
      <c r="D2" s="3" t="s">
        <v>1</v>
      </c>
      <c r="G2" s="4" t="s">
        <v>2</v>
      </c>
      <c r="H2" s="5"/>
      <c r="I2" s="5"/>
      <c r="J2" s="6"/>
    </row>
    <row r="3">
      <c r="B3" s="7" t="s">
        <v>3</v>
      </c>
      <c r="C3" s="6"/>
      <c r="D3" s="8" t="s">
        <v>4</v>
      </c>
      <c r="G3" s="9" t="s">
        <v>5</v>
      </c>
      <c r="H3" s="9" t="s">
        <v>6</v>
      </c>
      <c r="I3" s="10" t="s">
        <v>7</v>
      </c>
      <c r="J3" s="11" t="s">
        <v>8</v>
      </c>
      <c r="N3" s="4" t="s">
        <v>9</v>
      </c>
      <c r="O3" s="6"/>
    </row>
    <row r="4">
      <c r="B4" s="7" t="s">
        <v>10</v>
      </c>
      <c r="C4" s="6"/>
      <c r="D4" s="12" t="s">
        <v>11</v>
      </c>
      <c r="G4" s="13"/>
      <c r="H4" s="14"/>
      <c r="I4" s="10" t="s">
        <v>12</v>
      </c>
      <c r="J4" s="11" t="s">
        <v>13</v>
      </c>
      <c r="M4" s="15" t="s">
        <v>14</v>
      </c>
      <c r="N4" s="16" t="s">
        <v>15</v>
      </c>
      <c r="O4" s="16">
        <f>COUNT(#REF!,#REF!,#REF!,'Funcionales PRODUCTOS E INVENTA'!B12:D150,'Funcionales Carrito BE'!B12:D150,#REF!,#REF!,#REF!,#REF!,#REF!,#REF!,'[1]Funcionales Usuarios'!B12:D150,#REF!,'[2]Funcionales Autenticación BE'!B12:D150,#REF!,#REF!,#REF!,'RF PANEL USER'!B12:D150,'Funcionales generales FE'!B12:D150,#REF!,#REF!,#REF!,'[3]Funcionales Perfil usuario FE'!B12:D150,#REF!,)</f>
        <v>273</v>
      </c>
    </row>
    <row r="5">
      <c r="B5" s="7" t="s">
        <v>16</v>
      </c>
      <c r="C5" s="6"/>
      <c r="D5" s="17" t="s">
        <v>17</v>
      </c>
      <c r="G5" s="13"/>
      <c r="H5" s="9" t="s">
        <v>18</v>
      </c>
      <c r="I5" s="10" t="s">
        <v>7</v>
      </c>
      <c r="J5" s="18" t="s">
        <v>19</v>
      </c>
      <c r="M5" s="13"/>
      <c r="N5" s="16" t="s">
        <v>20</v>
      </c>
      <c r="O5" s="16">
        <f>COUNT('No funcionales generales BE'!B12:D150,#REF!,#REF!,#REF!,#REF!,#REF!,#REF!,#REF!,#REF!,#REF!,#REF!,'[4]No funcionales Usuarios'!B12:D150,#REF!,#REF!,'[5]No funcionales Pasarela de pago'!B12:D150,'[6]No funcionales Notificaciones B'!B12:D150,#REF!,#REF!,'No funcionales generales FE'!B12:D150,#REF!,#REF!,#REF!,#REF!,#REF!,)</f>
        <v>126</v>
      </c>
    </row>
    <row r="6" ht="48.0" customHeight="1">
      <c r="A6" s="19"/>
      <c r="B6" s="7" t="s">
        <v>21</v>
      </c>
      <c r="C6" s="6"/>
      <c r="D6" s="20" t="s">
        <v>22</v>
      </c>
      <c r="E6" s="21"/>
      <c r="F6" s="19"/>
      <c r="G6" s="13"/>
      <c r="H6" s="14"/>
      <c r="I6" s="10" t="s">
        <v>12</v>
      </c>
      <c r="J6" s="18" t="s">
        <v>23</v>
      </c>
      <c r="K6" s="19"/>
      <c r="L6" s="19"/>
      <c r="M6" s="14"/>
      <c r="N6" s="16" t="s">
        <v>24</v>
      </c>
      <c r="O6" s="22">
        <f>COUNT(#REF!,'No funcionales generales BE'!B12:D150,#REF!,#REF!,#REF!,#REF!,'Funcionales PRODUCTOS E INVENTA'!B12:D150,#REF!,'Funcionales Carrito BE'!B12:D150,#REF!,#REF!,#REF!,#REF!,#REF!,#REF!,#REF!,#REF!,#REF!,#REF!,#REF!,#REF!,#REF!,'[1]Funcionales Usuarios'!B12:D150,'[4]No funcionales Usuarios'!B12:D150,#REF!,#REF!,'[2]Funcionales Autenticación BE'!B12:D150,#REF!,#REF!,'[5]No funcionales Pasarela de pago'!B12:D150,#REF!,'[6]No funcionales Notificaciones B'!B12:D150,'[7]Funcionales generales '!B12:D150,#REF!,'RF PANEL USER'!B12:D150,#REF!,'[8]Funcionales  generales FE'!B12:D150,'No funcionales generales FE'!B12:D150,#REF!,#REF!,#REF!,#REF!,#REF!,#REF!,'[3]Funcionales Perfil usuario FE'!B12:D150,#REF!,#REF!,#REF!,)</f>
        <v>298</v>
      </c>
      <c r="P6" s="19"/>
      <c r="Q6" s="19"/>
      <c r="R6" s="19"/>
      <c r="S6" s="19"/>
      <c r="T6" s="19"/>
      <c r="U6" s="19"/>
      <c r="V6" s="19"/>
      <c r="W6" s="19"/>
      <c r="X6" s="19"/>
      <c r="Y6" s="19"/>
      <c r="Z6" s="19"/>
    </row>
    <row r="7" ht="53.25" customHeight="1">
      <c r="B7" s="7" t="s">
        <v>25</v>
      </c>
      <c r="C7" s="6"/>
      <c r="D7" s="23" t="s">
        <v>26</v>
      </c>
      <c r="G7" s="13"/>
      <c r="H7" s="9" t="s">
        <v>27</v>
      </c>
      <c r="I7" s="10" t="s">
        <v>7</v>
      </c>
      <c r="J7" s="18" t="s">
        <v>28</v>
      </c>
      <c r="M7" s="19"/>
      <c r="N7" s="7" t="s">
        <v>29</v>
      </c>
      <c r="O7" s="24" t="str">
        <f>COUNTIF('No funcionales generales BE'!F12:F144,"x")+COUNTIF(#REF!,"x")+COUNTIF(#REF!,"x")+COUNTIF(#REF!,"x")+COUNTIF(#REF!,"x")+COUNTIF('RF PANEL USER'!F12:F99,"x")+COUNTIF(#REF!,"x")+COUNTIF(#REF!,"x")+COUNTIF(#REF!,"x")+COUNTIF(#REF!,"x")+COUNTIF('Funcionales PRODUCTOS E INVENTA'!F12:F100,"x")+COUNTIF(#REF!,"x")+COUNTIF('Funcionales Carrito BE'!F12:F100,"x")+COUNTIF(#REF!,"x")+COUNTIF(#REF!,"x")+COUNTIF(#REF!,"x")+COUNTIF(#REF!,"x")+COUNTIF(#REF!,"x")+COUNTIF(#REF!,"x")+COUNTIF(#REF!,"x")+COUNTIF(#REF!,"x")+COUNTIF(#REF!,"x")+COUNTIF(#REF!,"x")+COUNTIF(#REF!,"x")+COUNTIF(#REF!,"x")+COUNTIF(#REF!,"x")+COUNTIF('RF CLIENTES Y USUARIOS'!F12:F100,"x")+COUNTIF(#REF!,"x")+COUNTIF(#REF!,"x")+COUNTIF(#REF!,"x")+COUNTIF(#REF!,"x")+COUNTIF(#REF!,"x")+COUNTIF(#REF!,"x")</f>
        <v>#REF!</v>
      </c>
    </row>
    <row r="8">
      <c r="B8" s="7" t="s">
        <v>30</v>
      </c>
      <c r="C8" s="6"/>
      <c r="D8" s="25" t="s">
        <v>31</v>
      </c>
      <c r="E8" s="26"/>
      <c r="G8" s="13"/>
      <c r="H8" s="14"/>
      <c r="I8" s="10" t="s">
        <v>12</v>
      </c>
      <c r="J8" s="11" t="s">
        <v>32</v>
      </c>
      <c r="N8" s="7" t="s">
        <v>33</v>
      </c>
      <c r="O8" s="24" t="str">
        <f>O6-O7</f>
        <v>#REF!</v>
      </c>
    </row>
    <row r="9" ht="45.75" customHeight="1">
      <c r="B9" s="7" t="s">
        <v>34</v>
      </c>
      <c r="C9" s="6"/>
      <c r="D9" s="27" t="s">
        <v>35</v>
      </c>
      <c r="E9" s="28"/>
      <c r="F9" s="29"/>
      <c r="G9" s="13"/>
      <c r="H9" s="9" t="s">
        <v>36</v>
      </c>
      <c r="I9" s="10" t="s">
        <v>7</v>
      </c>
      <c r="J9" s="18" t="s">
        <v>37</v>
      </c>
      <c r="N9" s="7" t="s">
        <v>38</v>
      </c>
      <c r="O9" s="30" t="str">
        <f>O7/O6</f>
        <v>#REF!</v>
      </c>
    </row>
    <row r="10">
      <c r="B10" s="31" t="s">
        <v>39</v>
      </c>
      <c r="C10" s="6"/>
      <c r="D10" s="32" t="s">
        <v>40</v>
      </c>
      <c r="E10" s="28"/>
      <c r="G10" s="13"/>
      <c r="H10" s="14"/>
      <c r="I10" s="10" t="s">
        <v>12</v>
      </c>
      <c r="J10" s="18" t="s">
        <v>41</v>
      </c>
    </row>
    <row r="11">
      <c r="B11" s="31" t="s">
        <v>42</v>
      </c>
      <c r="C11" s="6"/>
      <c r="D11" s="33" t="s">
        <v>43</v>
      </c>
      <c r="E11" s="34"/>
      <c r="G11" s="13"/>
      <c r="H11" s="9" t="s">
        <v>44</v>
      </c>
      <c r="I11" s="10" t="s">
        <v>7</v>
      </c>
      <c r="J11" s="18" t="s">
        <v>45</v>
      </c>
    </row>
    <row r="12">
      <c r="B12" s="35" t="s">
        <v>46</v>
      </c>
      <c r="C12" s="6"/>
      <c r="D12" s="36" t="s">
        <v>47</v>
      </c>
      <c r="E12" s="34"/>
      <c r="F12" s="37"/>
      <c r="G12" s="13"/>
      <c r="H12" s="14"/>
      <c r="I12" s="10" t="s">
        <v>12</v>
      </c>
      <c r="J12" s="18" t="s">
        <v>48</v>
      </c>
    </row>
    <row r="13">
      <c r="B13" s="35" t="s">
        <v>49</v>
      </c>
      <c r="C13" s="6"/>
      <c r="D13" s="36" t="s">
        <v>50</v>
      </c>
      <c r="E13" s="37"/>
      <c r="F13" s="37"/>
      <c r="G13" s="13"/>
      <c r="H13" s="9" t="s">
        <v>51</v>
      </c>
      <c r="I13" s="10" t="s">
        <v>7</v>
      </c>
      <c r="J13" s="18" t="s">
        <v>52</v>
      </c>
    </row>
    <row r="14">
      <c r="B14" s="35" t="s">
        <v>53</v>
      </c>
      <c r="C14" s="6"/>
      <c r="D14" s="36" t="s">
        <v>54</v>
      </c>
      <c r="E14" s="37"/>
      <c r="F14" s="37"/>
      <c r="G14" s="13"/>
      <c r="H14" s="14"/>
      <c r="I14" s="10" t="s">
        <v>12</v>
      </c>
      <c r="J14" s="18" t="s">
        <v>55</v>
      </c>
    </row>
    <row r="15">
      <c r="B15" s="35" t="s">
        <v>56</v>
      </c>
      <c r="C15" s="6"/>
      <c r="D15" s="36" t="s">
        <v>57</v>
      </c>
      <c r="E15" s="37"/>
      <c r="F15" s="37"/>
      <c r="G15" s="13"/>
      <c r="H15" s="9" t="s">
        <v>58</v>
      </c>
      <c r="I15" s="10" t="s">
        <v>7</v>
      </c>
      <c r="J15" s="18" t="s">
        <v>59</v>
      </c>
    </row>
    <row r="16">
      <c r="B16" s="35" t="s">
        <v>60</v>
      </c>
      <c r="C16" s="6"/>
      <c r="D16" s="36" t="s">
        <v>61</v>
      </c>
      <c r="E16" s="37"/>
      <c r="F16" s="37"/>
      <c r="G16" s="13"/>
      <c r="H16" s="14"/>
      <c r="I16" s="10" t="s">
        <v>12</v>
      </c>
      <c r="J16" s="18" t="s">
        <v>62</v>
      </c>
    </row>
    <row r="17">
      <c r="B17" s="35" t="s">
        <v>63</v>
      </c>
      <c r="C17" s="6"/>
      <c r="D17" s="36" t="s">
        <v>64</v>
      </c>
      <c r="E17" s="37"/>
      <c r="F17" s="34"/>
      <c r="G17" s="13"/>
      <c r="H17" s="9" t="s">
        <v>65</v>
      </c>
      <c r="I17" s="10" t="s">
        <v>7</v>
      </c>
      <c r="J17" s="18" t="s">
        <v>66</v>
      </c>
    </row>
    <row r="18">
      <c r="B18" s="35" t="s">
        <v>67</v>
      </c>
      <c r="C18" s="6"/>
      <c r="D18" s="36" t="s">
        <v>68</v>
      </c>
      <c r="E18" s="34"/>
      <c r="F18" s="34"/>
      <c r="G18" s="13"/>
      <c r="H18" s="14"/>
      <c r="I18" s="10" t="s">
        <v>12</v>
      </c>
      <c r="J18" s="18" t="s">
        <v>69</v>
      </c>
    </row>
    <row r="19">
      <c r="B19" s="35" t="s">
        <v>70</v>
      </c>
      <c r="C19" s="6"/>
      <c r="D19" s="36" t="s">
        <v>71</v>
      </c>
      <c r="E19" s="34"/>
      <c r="F19" s="34"/>
      <c r="G19" s="13"/>
      <c r="H19" s="38" t="s">
        <v>72</v>
      </c>
      <c r="I19" s="10" t="s">
        <v>7</v>
      </c>
      <c r="J19" s="18" t="s">
        <v>73</v>
      </c>
    </row>
    <row r="20">
      <c r="B20" s="39" t="s">
        <v>74</v>
      </c>
      <c r="C20" s="40"/>
      <c r="D20" s="41" t="s">
        <v>75</v>
      </c>
      <c r="E20" s="34"/>
      <c r="F20" s="34"/>
      <c r="G20" s="13"/>
      <c r="H20" s="14"/>
      <c r="I20" s="10" t="s">
        <v>12</v>
      </c>
      <c r="J20" s="18" t="s">
        <v>76</v>
      </c>
    </row>
    <row r="21" ht="15.75" customHeight="1">
      <c r="B21" s="42" t="s">
        <v>77</v>
      </c>
      <c r="C21" s="5"/>
      <c r="D21" s="43" t="s">
        <v>78</v>
      </c>
      <c r="E21" s="34"/>
      <c r="F21" s="34"/>
      <c r="G21" s="13"/>
      <c r="H21" s="38" t="s">
        <v>79</v>
      </c>
      <c r="I21" s="10" t="s">
        <v>7</v>
      </c>
      <c r="J21" s="11" t="s">
        <v>80</v>
      </c>
    </row>
    <row r="22" ht="15.75" customHeight="1">
      <c r="B22" s="42" t="s">
        <v>81</v>
      </c>
      <c r="C22" s="6"/>
      <c r="D22" s="44"/>
      <c r="E22" s="34"/>
      <c r="F22" s="34"/>
      <c r="G22" s="13"/>
      <c r="H22" s="14"/>
      <c r="I22" s="10" t="s">
        <v>12</v>
      </c>
      <c r="J22" s="18" t="s">
        <v>82</v>
      </c>
    </row>
    <row r="23" ht="15.75" customHeight="1">
      <c r="B23" s="42" t="s">
        <v>83</v>
      </c>
      <c r="C23" s="6"/>
      <c r="D23" s="44"/>
      <c r="E23" s="34"/>
      <c r="F23" s="34"/>
      <c r="G23" s="13"/>
      <c r="H23" s="38" t="s">
        <v>84</v>
      </c>
      <c r="I23" s="10" t="s">
        <v>7</v>
      </c>
      <c r="J23" s="18" t="s">
        <v>85</v>
      </c>
    </row>
    <row r="24" ht="15.75" customHeight="1">
      <c r="B24" s="42" t="s">
        <v>86</v>
      </c>
      <c r="C24" s="6"/>
      <c r="D24" s="44"/>
      <c r="E24" s="34"/>
      <c r="F24" s="34"/>
      <c r="G24" s="13"/>
      <c r="H24" s="14"/>
      <c r="I24" s="10" t="s">
        <v>12</v>
      </c>
      <c r="J24" s="18" t="s">
        <v>87</v>
      </c>
    </row>
    <row r="25" ht="15.75" customHeight="1">
      <c r="B25" s="42" t="s">
        <v>88</v>
      </c>
      <c r="C25" s="6"/>
      <c r="D25" s="44"/>
      <c r="E25" s="34"/>
      <c r="F25" s="34"/>
      <c r="G25" s="13"/>
      <c r="H25" s="38" t="s">
        <v>89</v>
      </c>
      <c r="I25" s="10" t="s">
        <v>7</v>
      </c>
      <c r="J25" s="18" t="s">
        <v>90</v>
      </c>
    </row>
    <row r="26" ht="15.75" customHeight="1">
      <c r="B26" s="42" t="s">
        <v>91</v>
      </c>
      <c r="C26" s="6"/>
      <c r="D26" s="44"/>
      <c r="E26" s="34"/>
      <c r="G26" s="13"/>
      <c r="H26" s="14"/>
      <c r="I26" s="10" t="s">
        <v>12</v>
      </c>
      <c r="J26" s="10" t="s">
        <v>92</v>
      </c>
    </row>
    <row r="27" ht="15.75" customHeight="1">
      <c r="B27" s="42" t="s">
        <v>93</v>
      </c>
      <c r="C27" s="6"/>
      <c r="D27" s="44"/>
      <c r="G27" s="13"/>
      <c r="H27" s="38" t="s">
        <v>94</v>
      </c>
      <c r="I27" s="10" t="s">
        <v>7</v>
      </c>
      <c r="J27" s="18" t="s">
        <v>95</v>
      </c>
    </row>
    <row r="28" ht="15.75" customHeight="1">
      <c r="B28" s="42" t="s">
        <v>96</v>
      </c>
      <c r="C28" s="6"/>
      <c r="D28" s="44"/>
      <c r="G28" s="13"/>
      <c r="H28" s="14"/>
      <c r="I28" s="10" t="s">
        <v>12</v>
      </c>
      <c r="J28" s="18" t="s">
        <v>97</v>
      </c>
    </row>
    <row r="29" ht="15.75" customHeight="1">
      <c r="B29" s="42" t="s">
        <v>98</v>
      </c>
      <c r="C29" s="6"/>
      <c r="D29" s="44"/>
      <c r="G29" s="13"/>
      <c r="H29" s="38" t="s">
        <v>99</v>
      </c>
      <c r="I29" s="10" t="s">
        <v>7</v>
      </c>
      <c r="J29" s="18" t="s">
        <v>100</v>
      </c>
    </row>
    <row r="30" ht="15.75" customHeight="1">
      <c r="B30" s="42" t="s">
        <v>101</v>
      </c>
      <c r="C30" s="6"/>
      <c r="D30" s="44"/>
      <c r="G30" s="13"/>
      <c r="H30" s="14"/>
      <c r="I30" s="10" t="s">
        <v>12</v>
      </c>
      <c r="J30" s="18" t="s">
        <v>102</v>
      </c>
    </row>
    <row r="31" ht="15.75" customHeight="1">
      <c r="B31" s="45" t="s">
        <v>103</v>
      </c>
      <c r="C31" s="46"/>
      <c r="D31" s="44"/>
      <c r="G31" s="13"/>
      <c r="H31" s="38" t="s">
        <v>104</v>
      </c>
      <c r="I31" s="10" t="s">
        <v>7</v>
      </c>
      <c r="J31" s="18" t="s">
        <v>105</v>
      </c>
    </row>
    <row r="32" ht="15.75" customHeight="1">
      <c r="B32" s="47" t="s">
        <v>103</v>
      </c>
      <c r="C32" s="6"/>
      <c r="D32" s="44"/>
      <c r="G32" s="13"/>
      <c r="H32" s="14"/>
      <c r="I32" s="10" t="s">
        <v>12</v>
      </c>
      <c r="J32" s="10" t="s">
        <v>106</v>
      </c>
    </row>
    <row r="33" ht="15.75" customHeight="1">
      <c r="B33" s="45" t="s">
        <v>107</v>
      </c>
      <c r="C33" s="46"/>
      <c r="D33" s="44"/>
      <c r="G33" s="13"/>
      <c r="H33" s="38" t="s">
        <v>108</v>
      </c>
      <c r="I33" s="10" t="s">
        <v>7</v>
      </c>
      <c r="J33" s="18" t="s">
        <v>109</v>
      </c>
    </row>
    <row r="34" ht="15.75" customHeight="1">
      <c r="B34" s="42" t="s">
        <v>110</v>
      </c>
      <c r="C34" s="6"/>
      <c r="D34" s="44"/>
      <c r="G34" s="14"/>
      <c r="H34" s="14"/>
      <c r="I34" s="10" t="s">
        <v>12</v>
      </c>
      <c r="J34" s="10" t="s">
        <v>111</v>
      </c>
    </row>
    <row r="35" ht="15.75" customHeight="1">
      <c r="B35" s="45" t="s">
        <v>112</v>
      </c>
      <c r="C35" s="46"/>
      <c r="D35" s="44"/>
      <c r="G35" s="38" t="s">
        <v>113</v>
      </c>
      <c r="H35" s="38" t="s">
        <v>6</v>
      </c>
      <c r="I35" s="10" t="s">
        <v>7</v>
      </c>
      <c r="J35" s="11" t="s">
        <v>114</v>
      </c>
    </row>
    <row r="36" ht="15.75" customHeight="1">
      <c r="B36" s="42" t="s">
        <v>115</v>
      </c>
      <c r="C36" s="6"/>
      <c r="D36" s="44"/>
      <c r="G36" s="14"/>
      <c r="H36" s="14"/>
      <c r="I36" s="10" t="s">
        <v>12</v>
      </c>
      <c r="J36" s="11" t="s">
        <v>116</v>
      </c>
    </row>
    <row r="37" ht="15.75" customHeight="1">
      <c r="B37" s="45" t="s">
        <v>117</v>
      </c>
      <c r="C37" s="46"/>
      <c r="D37" s="44"/>
      <c r="G37" s="38" t="s">
        <v>118</v>
      </c>
      <c r="H37" s="38" t="s">
        <v>6</v>
      </c>
      <c r="I37" s="10" t="s">
        <v>7</v>
      </c>
      <c r="J37" s="11" t="s">
        <v>119</v>
      </c>
    </row>
    <row r="38" ht="15.75" customHeight="1">
      <c r="B38" s="42" t="s">
        <v>120</v>
      </c>
      <c r="C38" s="6"/>
      <c r="D38" s="44"/>
      <c r="G38" s="14"/>
      <c r="H38" s="14"/>
      <c r="I38" s="10" t="s">
        <v>12</v>
      </c>
      <c r="J38" s="11" t="s">
        <v>121</v>
      </c>
    </row>
    <row r="39" ht="15.75" customHeight="1">
      <c r="B39" s="45" t="s">
        <v>122</v>
      </c>
      <c r="C39" s="46"/>
      <c r="D39" s="44"/>
      <c r="G39" s="38" t="s">
        <v>123</v>
      </c>
      <c r="H39" s="38" t="s">
        <v>6</v>
      </c>
      <c r="I39" s="16" t="s">
        <v>124</v>
      </c>
      <c r="J39" s="11" t="s">
        <v>125</v>
      </c>
    </row>
    <row r="40" ht="15.75" customHeight="1">
      <c r="B40" s="42" t="s">
        <v>126</v>
      </c>
      <c r="C40" s="6"/>
      <c r="D40" s="44"/>
      <c r="G40" s="13"/>
      <c r="H40" s="14"/>
      <c r="I40" s="16" t="s">
        <v>127</v>
      </c>
      <c r="J40" s="11" t="s">
        <v>128</v>
      </c>
    </row>
    <row r="41" ht="15.75" customHeight="1">
      <c r="B41" s="45" t="s">
        <v>129</v>
      </c>
      <c r="C41" s="46"/>
      <c r="D41" s="44"/>
      <c r="G41" s="13"/>
      <c r="H41" s="38" t="s">
        <v>18</v>
      </c>
      <c r="I41" s="16" t="s">
        <v>124</v>
      </c>
      <c r="J41" s="11" t="s">
        <v>130</v>
      </c>
    </row>
    <row r="42" ht="15.75" customHeight="1">
      <c r="B42" s="42"/>
      <c r="C42" s="6"/>
      <c r="D42" s="44"/>
      <c r="G42" s="13"/>
      <c r="H42" s="14"/>
      <c r="I42" s="16" t="s">
        <v>127</v>
      </c>
      <c r="J42" s="48" t="s">
        <v>131</v>
      </c>
    </row>
    <row r="43" ht="15.75" customHeight="1">
      <c r="B43" s="45"/>
      <c r="C43" s="46"/>
      <c r="D43" s="44"/>
      <c r="G43" s="13"/>
      <c r="H43" s="38" t="s">
        <v>36</v>
      </c>
      <c r="I43" s="16" t="s">
        <v>124</v>
      </c>
      <c r="J43" s="11" t="s">
        <v>132</v>
      </c>
    </row>
    <row r="44" ht="15.75" customHeight="1">
      <c r="B44" s="42"/>
      <c r="C44" s="6"/>
      <c r="D44" s="44"/>
      <c r="G44" s="13"/>
      <c r="H44" s="14"/>
      <c r="I44" s="16" t="s">
        <v>127</v>
      </c>
      <c r="J44" s="48" t="s">
        <v>133</v>
      </c>
    </row>
    <row r="45" ht="15.75" customHeight="1">
      <c r="B45" s="45"/>
      <c r="C45" s="46"/>
      <c r="D45" s="44"/>
      <c r="G45" s="13"/>
      <c r="H45" s="38" t="s">
        <v>44</v>
      </c>
      <c r="I45" s="16" t="s">
        <v>124</v>
      </c>
      <c r="J45" s="48" t="s">
        <v>134</v>
      </c>
    </row>
    <row r="46" ht="15.75" customHeight="1">
      <c r="B46" s="42"/>
      <c r="C46" s="6"/>
      <c r="D46" s="44"/>
      <c r="G46" s="13"/>
      <c r="H46" s="14"/>
      <c r="I46" s="16" t="s">
        <v>127</v>
      </c>
      <c r="J46" s="48" t="s">
        <v>135</v>
      </c>
    </row>
    <row r="47" ht="15.75" customHeight="1">
      <c r="B47" s="45"/>
      <c r="C47" s="46"/>
      <c r="D47" s="44"/>
      <c r="G47" s="13"/>
      <c r="H47" s="9" t="s">
        <v>136</v>
      </c>
      <c r="I47" s="16" t="s">
        <v>124</v>
      </c>
      <c r="J47" s="48" t="s">
        <v>137</v>
      </c>
    </row>
    <row r="48" ht="15.75" customHeight="1">
      <c r="B48" s="42"/>
      <c r="C48" s="6"/>
      <c r="D48" s="44"/>
      <c r="G48" s="13"/>
      <c r="H48" s="14"/>
      <c r="I48" s="16" t="s">
        <v>127</v>
      </c>
      <c r="J48" s="48" t="s">
        <v>138</v>
      </c>
    </row>
    <row r="49" ht="15.75" customHeight="1">
      <c r="B49" s="49"/>
      <c r="C49" s="50"/>
      <c r="D49" s="44"/>
      <c r="G49" s="13"/>
      <c r="H49" s="51" t="s">
        <v>72</v>
      </c>
      <c r="I49" s="16" t="s">
        <v>124</v>
      </c>
      <c r="J49" s="48" t="s">
        <v>139</v>
      </c>
    </row>
    <row r="50" ht="15.75" customHeight="1">
      <c r="B50" s="42"/>
      <c r="C50" s="6"/>
      <c r="D50" s="44"/>
      <c r="G50" s="14"/>
      <c r="H50" s="14"/>
      <c r="I50" s="16" t="s">
        <v>127</v>
      </c>
      <c r="J50" s="48" t="s">
        <v>140</v>
      </c>
    </row>
    <row r="51" ht="15.75" customHeight="1">
      <c r="B51" s="42"/>
      <c r="C51" s="6"/>
      <c r="D51" s="44"/>
    </row>
    <row r="52" ht="15.75" customHeight="1">
      <c r="B52" s="42"/>
      <c r="C52" s="6"/>
      <c r="D52" s="44"/>
    </row>
    <row r="53" ht="15.75" customHeight="1">
      <c r="B53" s="42"/>
      <c r="C53" s="6"/>
      <c r="D53" s="44"/>
    </row>
    <row r="54" ht="15.75" customHeight="1">
      <c r="B54" s="42"/>
      <c r="C54" s="6"/>
      <c r="D54" s="44"/>
    </row>
    <row r="55" ht="15.75" customHeight="1">
      <c r="B55" s="42"/>
      <c r="C55" s="6"/>
      <c r="D55" s="44"/>
    </row>
    <row r="56" ht="15.75" customHeight="1">
      <c r="B56" s="42"/>
      <c r="C56" s="6"/>
      <c r="D56" s="44"/>
    </row>
    <row r="57" ht="15.75" customHeight="1">
      <c r="B57" s="42"/>
      <c r="C57" s="6"/>
      <c r="D57" s="44"/>
    </row>
    <row r="58" ht="15.75" customHeight="1">
      <c r="B58" s="42"/>
      <c r="C58" s="6"/>
      <c r="D58" s="44"/>
    </row>
    <row r="59" ht="15.75" customHeight="1">
      <c r="B59" s="42"/>
      <c r="C59" s="6"/>
      <c r="D59" s="44"/>
    </row>
    <row r="60" ht="15.75" customHeight="1">
      <c r="B60" s="42"/>
      <c r="C60" s="6"/>
      <c r="D60" s="44"/>
    </row>
    <row r="61" ht="15.75" customHeight="1">
      <c r="B61" s="42"/>
      <c r="C61" s="6"/>
      <c r="D61" s="44"/>
    </row>
    <row r="62" ht="15.75" customHeight="1">
      <c r="B62" s="42"/>
      <c r="C62" s="6"/>
      <c r="D62" s="44"/>
    </row>
    <row r="63" ht="15.75" customHeight="1">
      <c r="B63" s="42"/>
      <c r="C63" s="6"/>
      <c r="D63" s="44"/>
    </row>
    <row r="64" ht="15.75" customHeight="1">
      <c r="B64" s="42"/>
      <c r="C64" s="6"/>
      <c r="D64" s="44"/>
    </row>
    <row r="65" ht="15.75" customHeight="1">
      <c r="B65" s="42"/>
      <c r="C65" s="6"/>
      <c r="D65" s="44"/>
    </row>
    <row r="66" ht="15.75" customHeight="1">
      <c r="B66" s="42"/>
      <c r="C66" s="6"/>
      <c r="D66" s="44"/>
    </row>
    <row r="67" ht="15.75" customHeight="1">
      <c r="B67" s="42"/>
      <c r="C67" s="6"/>
      <c r="D67" s="44"/>
    </row>
    <row r="68" ht="15.75" customHeight="1">
      <c r="B68" s="42"/>
      <c r="C68" s="6"/>
      <c r="D68" s="44"/>
    </row>
    <row r="69" ht="15.75" customHeight="1">
      <c r="B69" s="42"/>
      <c r="C69" s="6"/>
      <c r="D69" s="44"/>
    </row>
    <row r="70" ht="15.75" customHeight="1">
      <c r="B70" s="42"/>
      <c r="C70" s="6"/>
      <c r="D70" s="44"/>
    </row>
    <row r="71" ht="15.75" customHeight="1">
      <c r="B71" s="42"/>
      <c r="C71" s="6"/>
      <c r="D71" s="44"/>
    </row>
    <row r="72" ht="15.75" customHeight="1">
      <c r="B72" s="42"/>
      <c r="C72" s="6"/>
      <c r="D72" s="44"/>
    </row>
    <row r="73" ht="15.75" customHeight="1">
      <c r="B73" s="42"/>
      <c r="C73" s="6"/>
      <c r="D73" s="44"/>
    </row>
    <row r="74" ht="15.75" customHeight="1">
      <c r="B74" s="42"/>
      <c r="C74" s="6"/>
      <c r="D74" s="44"/>
    </row>
    <row r="75" ht="15.75" customHeight="1">
      <c r="B75" s="42"/>
      <c r="C75" s="6"/>
      <c r="D75" s="44"/>
    </row>
    <row r="76" ht="15.75" customHeight="1">
      <c r="B76" s="42"/>
      <c r="C76" s="6"/>
      <c r="D76" s="44"/>
    </row>
    <row r="77" ht="15.75" customHeight="1">
      <c r="B77" s="42"/>
      <c r="C77" s="6"/>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6">
    <mergeCell ref="H3:H4"/>
    <mergeCell ref="H5:H6"/>
    <mergeCell ref="B6:C6"/>
    <mergeCell ref="B7:C7"/>
    <mergeCell ref="B5:C5"/>
    <mergeCell ref="B8:C8"/>
    <mergeCell ref="H7:H8"/>
    <mergeCell ref="H9:H10"/>
    <mergeCell ref="B10:C10"/>
    <mergeCell ref="B11:C11"/>
    <mergeCell ref="H11:H12"/>
    <mergeCell ref="H13:H14"/>
    <mergeCell ref="B14:C14"/>
    <mergeCell ref="B15:C15"/>
    <mergeCell ref="B9:C9"/>
    <mergeCell ref="B12:C12"/>
    <mergeCell ref="B13:C13"/>
    <mergeCell ref="B16:C16"/>
    <mergeCell ref="H15:H16"/>
    <mergeCell ref="H17:H18"/>
    <mergeCell ref="B18:C18"/>
    <mergeCell ref="B19:C19"/>
    <mergeCell ref="B17:C17"/>
    <mergeCell ref="B20:C20"/>
    <mergeCell ref="H19:H20"/>
    <mergeCell ref="H21:H22"/>
    <mergeCell ref="B22:C22"/>
    <mergeCell ref="B23:C23"/>
    <mergeCell ref="B29:C29"/>
    <mergeCell ref="B32:C32"/>
    <mergeCell ref="G2:J2"/>
    <mergeCell ref="B3:C3"/>
    <mergeCell ref="G3:G34"/>
    <mergeCell ref="N3:O3"/>
    <mergeCell ref="B4:C4"/>
    <mergeCell ref="M4:M6"/>
    <mergeCell ref="B33:C33"/>
    <mergeCell ref="B34:C34"/>
    <mergeCell ref="H39:H40"/>
    <mergeCell ref="H41:H42"/>
    <mergeCell ref="H43:H44"/>
    <mergeCell ref="H45:H46"/>
    <mergeCell ref="H47:H48"/>
    <mergeCell ref="H49:H50"/>
    <mergeCell ref="H31:H32"/>
    <mergeCell ref="H33:H34"/>
    <mergeCell ref="G35:G36"/>
    <mergeCell ref="H35:H36"/>
    <mergeCell ref="G37:G38"/>
    <mergeCell ref="H37:H38"/>
    <mergeCell ref="G39:G50"/>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75:C75"/>
    <mergeCell ref="B76:C76"/>
    <mergeCell ref="B77:C77"/>
    <mergeCell ref="B68:C68"/>
    <mergeCell ref="B69:C69"/>
    <mergeCell ref="B70:C70"/>
    <mergeCell ref="B71:C71"/>
    <mergeCell ref="B72:C72"/>
    <mergeCell ref="B73:C73"/>
    <mergeCell ref="B74:C74"/>
    <mergeCell ref="B21:C21"/>
    <mergeCell ref="B24:C24"/>
    <mergeCell ref="H23:H24"/>
    <mergeCell ref="H25:H26"/>
    <mergeCell ref="B26:C26"/>
    <mergeCell ref="B27:C27"/>
    <mergeCell ref="B25:C25"/>
    <mergeCell ref="B28:C28"/>
    <mergeCell ref="H27:H28"/>
    <mergeCell ref="H29:H30"/>
    <mergeCell ref="B30:C30"/>
    <mergeCell ref="B31:C31"/>
    <mergeCell ref="B35:C35"/>
    <mergeCell ref="B36:C36"/>
    <mergeCell ref="B37:C37"/>
    <mergeCell ref="B38:C38"/>
    <mergeCell ref="B39:C39"/>
    <mergeCell ref="B40:C40"/>
    <mergeCell ref="B41:C41"/>
    <mergeCell ref="B42:C42"/>
    <mergeCell ref="B43:C43"/>
    <mergeCell ref="B44:C44"/>
    <mergeCell ref="B45:C45"/>
    <mergeCell ref="B46:C46"/>
  </mergeCells>
  <conditionalFormatting sqref="N6:N8">
    <cfRule type="colorScale" priority="1">
      <colorScale>
        <cfvo type="min"/>
        <cfvo type="percentile" val="50"/>
        <cfvo type="max"/>
        <color rgb="FFF8696B"/>
        <color rgb="FFFFEB84"/>
        <color rgb="FF63BE7B"/>
      </colorScale>
    </cfRule>
  </conditionalFormatting>
  <hyperlinks>
    <hyperlink display="Funcionales generales BE" location="null!A1" ref="J3"/>
    <hyperlink display="No funcionales generales BE" location="'No funcionales generales BE'!A1" ref="J4"/>
    <hyperlink display="Funcionales Home BE" location="null!A1" ref="J5"/>
    <hyperlink display="No funcionales Home BE" location="null!A1" ref="J6"/>
    <hyperlink display="Funcionales Shop BE" location="null!A1" ref="J7"/>
    <hyperlink display="No funcionales Shop BE" location="null!A1" ref="J8"/>
    <hyperlink display="Funcionales Producto BE" location="null!A1" ref="J9"/>
    <hyperlink display="No funcionales Producto BE" location="null!A1" ref="J10"/>
    <hyperlink display="Funcionales Carrito BE" location="'Funcionales Carrito BE'!A1" ref="J11"/>
    <hyperlink display="No funcionales Carrito BE" location="null!A1" ref="J12"/>
    <hyperlink display="Funcionales Checkout BE" location="null!A1" ref="J13"/>
    <hyperlink display="No funcionales Checkout BE" location="null!A1" ref="J14"/>
    <hyperlink display="Funcionales Ordenes BE" location="null!A1" ref="J15"/>
    <hyperlink display="No funcionales Ordenes BE" location="null!A1" ref="J16"/>
    <hyperlink display="Funcionales Favoritos BE" location="null!A1" ref="J17"/>
    <hyperlink display="No funcionales Favoritos BE" location="null!A1" ref="J18"/>
    <hyperlink display="Funcionales Dashboard BE" location="null!A1" ref="J19"/>
    <hyperlink display="No funcionaes Dashboard BE" location="null!A1" ref="J20"/>
    <hyperlink display="Funcionales productos BE" location="null!A1" ref="J21"/>
    <hyperlink display="No funcionales Productos BE" location="null!A1" ref="J22"/>
    <hyperlink display="Funcionales Categorias BE" location="null!A1" ref="J23"/>
    <hyperlink display="No funcionales Categorias BE" location="null!A1" ref="J24"/>
    <hyperlink display="Funcionales Usuarios" location="null!A1" ref="J25"/>
    <hyperlink display="Funcionales Descuentos BE" location="null!A1" ref="J27"/>
    <hyperlink display="No funcionales Descuentos BE" location="null!A1" ref="J28"/>
    <hyperlink display="Funcionales Autenticación BE" location="null!A1" ref="J29"/>
    <hyperlink display="No funcionales Autenticacion BE" location="null!A1" ref="J30"/>
    <hyperlink display="Funcionales Pasarela pagos BE" location="null!A1" ref="J31"/>
    <hyperlink display="Funcionales Notificaciones BE" location="null!A1" ref="J33"/>
    <hyperlink display="Funcionales generales DB" location="null!A1" ref="J35"/>
    <hyperlink display="No funcionales generales DB" location="null!A1" ref="J36"/>
    <hyperlink display="Funcionales synkro" location="null!A1" ref="J37"/>
    <hyperlink display="No funcionales Synkro" location="null!A1" ref="J38"/>
    <hyperlink display="Funcionales  generales FE" location="'Funcionales generales FE'!A1" ref="J39"/>
    <hyperlink display="No funcionales generales FE" location="'No funcionales generales FE'!A1" ref="J40"/>
    <hyperlink display="Funcionales Home FE" location="null!A1" ref="J41"/>
    <hyperlink display="No funcionales Home FE" location="null!A1" ref="J42"/>
    <hyperlink display="Funcionales Producto FE" location="null!A1" ref="J43"/>
    <hyperlink display="No funcionales Producto FE" location="null!A1" ref="J44"/>
    <hyperlink display="Funcionales Carrito FE" location="null!A1" ref="J45"/>
    <hyperlink display="No funcionales Carrito FE" location="null!A1" ref="J46"/>
    <hyperlink display="Funcionales Perfil usuario FE" location="null!A1" ref="J47"/>
    <hyperlink display="No funcionales user profile FE" location="null!A1" ref="J48"/>
    <hyperlink display="Funcionales Dashboard FE" location="null!A1" ref="J49"/>
    <hyperlink display="No funcionales Dashboard FE" location="null!A1" ref="J50"/>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4.43" defaultRowHeight="15.0"/>
  <cols>
    <col customWidth="1" min="1" max="1" width="2.86"/>
    <col customWidth="1" min="2" max="2" width="4.14"/>
    <col customWidth="1" min="4" max="4" width="121.57"/>
    <col customWidth="1" min="5" max="5" width="4.29"/>
    <col customWidth="1" min="6" max="8" width="7.14"/>
    <col customWidth="1" min="9" max="9" width="85.71"/>
    <col customWidth="1" min="10" max="10" width="11.43"/>
    <col customWidth="1" min="11" max="11" width="14.14"/>
    <col customWidth="1" min="12" max="26" width="11.43"/>
  </cols>
  <sheetData>
    <row r="2" ht="21.75" customHeight="1">
      <c r="B2" s="52" t="s">
        <v>141</v>
      </c>
      <c r="C2" s="53"/>
      <c r="D2" s="53"/>
      <c r="E2" s="53"/>
      <c r="F2" s="53"/>
      <c r="G2" s="53"/>
      <c r="H2" s="53"/>
      <c r="I2" s="54"/>
      <c r="K2" s="55" t="s">
        <v>9</v>
      </c>
      <c r="L2" s="56"/>
    </row>
    <row r="3" ht="15.0" customHeight="1">
      <c r="B3" s="57"/>
      <c r="C3" s="57"/>
      <c r="D3" s="57"/>
      <c r="K3" s="44" t="s">
        <v>142</v>
      </c>
      <c r="L3" s="58">
        <f>COUNT(B12:D94)</f>
        <v>60</v>
      </c>
    </row>
    <row r="4">
      <c r="B4" s="59" t="s">
        <v>143</v>
      </c>
      <c r="C4" s="60" t="s">
        <v>144</v>
      </c>
      <c r="K4" s="44" t="s">
        <v>29</v>
      </c>
      <c r="L4" s="58">
        <f>COUNTIF(F12:F94,"X")</f>
        <v>38</v>
      </c>
    </row>
    <row r="5">
      <c r="B5" s="59" t="s">
        <v>145</v>
      </c>
      <c r="C5" s="60" t="s">
        <v>146</v>
      </c>
    </row>
    <row r="6">
      <c r="B6" s="59" t="s">
        <v>147</v>
      </c>
      <c r="C6" s="60" t="s">
        <v>148</v>
      </c>
      <c r="I6" s="61" t="str">
        <f>COUNTIF('No funcionales generales BE'!F12:F144,"x")+COUNTIF(#REF!,"x")+COUNTIF(#REF!,"x")+COUNTIF(#REF!,"x")+COUNTIF(#REF!,"x")+COUNTIF('RF PANEL USER'!F12:F99,"x")+COUNTIF(#REF!,"x")+COUNTIF(#REF!,"x")+COUNTIF(#REF!,"x")+COUNTIF(#REF!,"x")+COUNTIF('Funcionales PRODUCTOS E INVENTA'!F12:F100,"x")+COUNTIF(#REF!,"x")+COUNTIF('Funcionales Carrito BE'!F12:F100,"x")+COUNTIF(#REF!,"x")+COUNTIF(#REF!,"x")+COUNTIF(#REF!,"x")+COUNTIF(#REF!,"x")+COUNTIF(#REF!,"x")+COUNTIF(#REF!,"x")+COUNTIF(#REF!,"x")+COUNTIF(#REF!,"x")+COUNTIF(#REF!,"x")+COUNTIF(#REF!,"x")+COUNTIF(#REF!,"x")+COUNTIF(#REF!,"x")+COUNTIF(#REF!,"x")+COUNTIF('RF CLIENTES Y USUARIOS'!F12:F100,"x")+COUNTIF(#REF!,"x")+COUNTIF(#REF!,"x")+COUNTIF(#REF!,"x")+COUNTIF(#REF!,"x")+COUNTIF(#REF!,"x")+COUNTIF(#REF!,"x")</f>
        <v>#REF!</v>
      </c>
      <c r="K6" s="44" t="s">
        <v>149</v>
      </c>
      <c r="L6" s="62" t="str">
        <f>_xludf.PERCENTOF(L4,L3)</f>
        <v>#NAME?</v>
      </c>
    </row>
    <row r="7">
      <c r="B7" s="63" t="s">
        <v>150</v>
      </c>
      <c r="D7" s="60" t="s">
        <v>151</v>
      </c>
    </row>
    <row r="8">
      <c r="B8" s="64"/>
      <c r="C8" s="64"/>
      <c r="D8" s="60"/>
    </row>
    <row r="9">
      <c r="F9" s="65" t="s">
        <v>152</v>
      </c>
      <c r="G9" s="66"/>
      <c r="H9" s="67"/>
      <c r="I9" s="68" t="s">
        <v>153</v>
      </c>
    </row>
    <row r="10" ht="20.25" customHeight="1">
      <c r="B10" s="69" t="s">
        <v>154</v>
      </c>
      <c r="C10" s="70"/>
      <c r="D10" s="56"/>
      <c r="E10" s="71"/>
      <c r="F10" s="72" t="s">
        <v>143</v>
      </c>
      <c r="G10" s="73" t="s">
        <v>145</v>
      </c>
      <c r="H10" s="73" t="s">
        <v>147</v>
      </c>
      <c r="I10" s="74"/>
      <c r="J10" s="75"/>
    </row>
    <row r="11" ht="11.25" customHeight="1">
      <c r="B11" s="76"/>
      <c r="C11" s="77"/>
      <c r="D11" s="78"/>
      <c r="I11" s="79"/>
    </row>
    <row r="12" ht="32.25" customHeight="1">
      <c r="A12" s="80"/>
      <c r="B12" s="81">
        <v>1.0</v>
      </c>
      <c r="C12" s="82" t="s">
        <v>155</v>
      </c>
      <c r="D12" s="6"/>
      <c r="E12" s="83"/>
      <c r="F12" s="16" t="s">
        <v>156</v>
      </c>
      <c r="G12" s="16"/>
      <c r="H12" s="16"/>
      <c r="I12" s="44"/>
    </row>
    <row r="13" ht="25.5" customHeight="1">
      <c r="A13" s="80"/>
      <c r="B13" s="81">
        <v>2.0</v>
      </c>
      <c r="C13" s="82" t="s">
        <v>157</v>
      </c>
      <c r="D13" s="6"/>
      <c r="E13" s="83"/>
      <c r="F13" s="16" t="s">
        <v>156</v>
      </c>
      <c r="G13" s="16"/>
      <c r="H13" s="16"/>
      <c r="I13" s="44"/>
    </row>
    <row r="14" ht="31.5" customHeight="1">
      <c r="A14" s="80"/>
      <c r="B14" s="81">
        <v>3.0</v>
      </c>
      <c r="C14" s="82" t="s">
        <v>158</v>
      </c>
      <c r="D14" s="6"/>
      <c r="E14" s="83"/>
      <c r="F14" s="16"/>
      <c r="G14" s="16"/>
      <c r="H14" s="16" t="s">
        <v>156</v>
      </c>
      <c r="I14" s="44"/>
    </row>
    <row r="15" ht="24.0" customHeight="1">
      <c r="A15" s="80"/>
      <c r="B15" s="81">
        <v>4.0</v>
      </c>
      <c r="C15" s="84" t="s">
        <v>159</v>
      </c>
      <c r="D15" s="6"/>
      <c r="E15" s="83"/>
      <c r="F15" s="16" t="s">
        <v>156</v>
      </c>
      <c r="G15" s="16"/>
      <c r="H15" s="16"/>
      <c r="I15" s="44"/>
    </row>
    <row r="16" ht="27.0" customHeight="1">
      <c r="A16" s="80"/>
      <c r="B16" s="81">
        <v>5.0</v>
      </c>
      <c r="C16" s="82" t="s">
        <v>160</v>
      </c>
      <c r="D16" s="6"/>
      <c r="F16" s="16"/>
      <c r="G16" s="16"/>
      <c r="H16" s="16" t="s">
        <v>156</v>
      </c>
      <c r="I16" s="44"/>
    </row>
    <row r="17" ht="33.75" customHeight="1">
      <c r="A17" s="80"/>
      <c r="B17" s="81">
        <v>6.0</v>
      </c>
      <c r="C17" s="82" t="s">
        <v>161</v>
      </c>
      <c r="D17" s="6"/>
      <c r="F17" s="16" t="s">
        <v>156</v>
      </c>
      <c r="G17" s="16"/>
      <c r="H17" s="16"/>
      <c r="I17" s="44"/>
    </row>
    <row r="18" ht="30.75" customHeight="1">
      <c r="A18" s="80"/>
      <c r="B18" s="81">
        <v>7.0</v>
      </c>
      <c r="C18" s="82" t="s">
        <v>162</v>
      </c>
      <c r="D18" s="6"/>
      <c r="F18" s="16" t="s">
        <v>156</v>
      </c>
      <c r="G18" s="16"/>
      <c r="H18" s="16"/>
      <c r="I18" s="44"/>
    </row>
    <row r="19" ht="34.5" customHeight="1">
      <c r="A19" s="80"/>
      <c r="B19" s="81">
        <v>8.0</v>
      </c>
      <c r="C19" s="82" t="s">
        <v>163</v>
      </c>
      <c r="D19" s="6"/>
      <c r="F19" s="16"/>
      <c r="G19" s="16"/>
      <c r="H19" s="16" t="s">
        <v>156</v>
      </c>
      <c r="I19" s="44"/>
    </row>
    <row r="20" ht="37.5" customHeight="1">
      <c r="A20" s="80"/>
      <c r="B20" s="81">
        <v>9.0</v>
      </c>
      <c r="C20" s="85" t="s">
        <v>164</v>
      </c>
      <c r="D20" s="6"/>
      <c r="F20" s="16" t="s">
        <v>156</v>
      </c>
      <c r="G20" s="16"/>
      <c r="H20" s="16"/>
      <c r="I20" s="44"/>
    </row>
    <row r="21" ht="34.5" customHeight="1">
      <c r="A21" s="80"/>
      <c r="B21" s="81">
        <v>10.0</v>
      </c>
      <c r="C21" s="82" t="s">
        <v>165</v>
      </c>
      <c r="D21" s="6"/>
      <c r="F21" s="16" t="s">
        <v>156</v>
      </c>
      <c r="G21" s="16"/>
      <c r="H21" s="16"/>
      <c r="I21" s="44"/>
    </row>
    <row r="22" ht="24.75" customHeight="1">
      <c r="A22" s="80"/>
      <c r="B22" s="81">
        <v>11.0</v>
      </c>
      <c r="C22" s="82" t="s">
        <v>166</v>
      </c>
      <c r="D22" s="6"/>
      <c r="F22" s="16" t="s">
        <v>156</v>
      </c>
      <c r="G22" s="16"/>
      <c r="H22" s="16"/>
      <c r="I22" s="44"/>
    </row>
    <row r="23" ht="15.75" customHeight="1">
      <c r="A23" s="80"/>
      <c r="B23" s="81">
        <v>12.0</v>
      </c>
      <c r="C23" s="86" t="s">
        <v>167</v>
      </c>
      <c r="D23" s="87"/>
      <c r="F23" s="16" t="s">
        <v>156</v>
      </c>
      <c r="G23" s="16"/>
      <c r="H23" s="16"/>
      <c r="I23" s="44"/>
    </row>
    <row r="24" ht="24.75" customHeight="1">
      <c r="B24" s="81">
        <v>13.0</v>
      </c>
      <c r="C24" s="88" t="s">
        <v>168</v>
      </c>
      <c r="D24" s="6"/>
      <c r="F24" s="16"/>
      <c r="G24" s="89"/>
      <c r="H24" s="16" t="s">
        <v>156</v>
      </c>
      <c r="I24" s="89"/>
    </row>
    <row r="25" ht="18.75" customHeight="1">
      <c r="B25" s="81">
        <v>14.0</v>
      </c>
      <c r="C25" s="90" t="s">
        <v>169</v>
      </c>
      <c r="D25" s="6"/>
      <c r="F25" s="16" t="s">
        <v>156</v>
      </c>
      <c r="G25" s="89"/>
      <c r="H25" s="16"/>
      <c r="I25" s="89"/>
    </row>
    <row r="26" ht="15.75" customHeight="1">
      <c r="B26" s="81">
        <v>15.0</v>
      </c>
      <c r="C26" s="91" t="s">
        <v>170</v>
      </c>
      <c r="D26" s="46"/>
      <c r="F26" s="38"/>
      <c r="G26" s="92"/>
      <c r="H26" s="38" t="s">
        <v>156</v>
      </c>
      <c r="I26" s="92"/>
    </row>
    <row r="27" ht="15.75" customHeight="1">
      <c r="B27" s="81">
        <v>16.0</v>
      </c>
      <c r="C27" s="93" t="s">
        <v>171</v>
      </c>
      <c r="D27" s="6"/>
      <c r="F27" s="44"/>
      <c r="G27" s="44"/>
      <c r="H27" s="16" t="s">
        <v>156</v>
      </c>
      <c r="I27" s="44"/>
    </row>
    <row r="28" ht="15.75" customHeight="1">
      <c r="B28" s="81">
        <v>17.0</v>
      </c>
      <c r="C28" s="93" t="s">
        <v>172</v>
      </c>
      <c r="D28" s="6"/>
      <c r="F28" s="44"/>
      <c r="G28" s="44"/>
      <c r="H28" s="16" t="s">
        <v>156</v>
      </c>
      <c r="I28" s="44"/>
    </row>
    <row r="29" ht="15.75" customHeight="1">
      <c r="B29" s="81">
        <v>18.0</v>
      </c>
      <c r="C29" s="93" t="s">
        <v>173</v>
      </c>
      <c r="D29" s="6"/>
      <c r="F29" s="16" t="s">
        <v>156</v>
      </c>
      <c r="G29" s="44"/>
      <c r="H29" s="16"/>
      <c r="I29" s="44"/>
    </row>
    <row r="30" ht="15.75" customHeight="1">
      <c r="B30" s="81">
        <v>19.0</v>
      </c>
      <c r="C30" s="93" t="s">
        <v>174</v>
      </c>
      <c r="D30" s="6"/>
      <c r="F30" s="16"/>
      <c r="G30" s="44"/>
      <c r="H30" s="16" t="s">
        <v>156</v>
      </c>
      <c r="I30" s="44"/>
    </row>
    <row r="31" ht="15.75" customHeight="1">
      <c r="B31" s="81">
        <v>20.0</v>
      </c>
      <c r="C31" s="93" t="s">
        <v>175</v>
      </c>
      <c r="D31" s="6"/>
      <c r="F31" s="16" t="s">
        <v>156</v>
      </c>
      <c r="G31" s="44"/>
      <c r="H31" s="16"/>
      <c r="I31" s="44"/>
    </row>
    <row r="32" ht="15.75" customHeight="1">
      <c r="B32" s="81">
        <v>21.0</v>
      </c>
      <c r="C32" s="93" t="s">
        <v>176</v>
      </c>
      <c r="D32" s="6"/>
      <c r="F32" s="16" t="s">
        <v>156</v>
      </c>
      <c r="G32" s="44"/>
      <c r="H32" s="16"/>
      <c r="I32" s="44"/>
    </row>
    <row r="33" ht="15.75" customHeight="1">
      <c r="B33" s="81">
        <v>22.0</v>
      </c>
      <c r="C33" s="93" t="s">
        <v>177</v>
      </c>
      <c r="D33" s="6"/>
      <c r="F33" s="16" t="s">
        <v>156</v>
      </c>
      <c r="G33" s="44"/>
      <c r="H33" s="16"/>
      <c r="I33" s="44"/>
    </row>
    <row r="34" ht="15.75" customHeight="1">
      <c r="B34" s="81">
        <v>23.0</v>
      </c>
      <c r="C34" s="93" t="s">
        <v>178</v>
      </c>
      <c r="D34" s="6"/>
      <c r="F34" s="16" t="s">
        <v>156</v>
      </c>
      <c r="G34" s="44"/>
      <c r="H34" s="16"/>
      <c r="I34" s="44"/>
    </row>
    <row r="35" ht="15.75" customHeight="1">
      <c r="B35" s="81">
        <v>24.0</v>
      </c>
      <c r="C35" s="93" t="s">
        <v>179</v>
      </c>
      <c r="D35" s="6"/>
      <c r="F35" s="16"/>
      <c r="G35" s="44"/>
      <c r="H35" s="16" t="s">
        <v>156</v>
      </c>
      <c r="I35" s="44"/>
    </row>
    <row r="36" ht="32.25" customHeight="1">
      <c r="B36" s="81">
        <v>25.0</v>
      </c>
      <c r="C36" s="94" t="s">
        <v>180</v>
      </c>
      <c r="D36" s="6"/>
      <c r="F36" s="16" t="s">
        <v>156</v>
      </c>
      <c r="G36" s="44"/>
      <c r="H36" s="16"/>
      <c r="I36" s="44"/>
    </row>
    <row r="37" ht="15.75" customHeight="1">
      <c r="B37" s="81">
        <v>26.0</v>
      </c>
      <c r="C37" s="93" t="s">
        <v>181</v>
      </c>
      <c r="D37" s="6"/>
      <c r="F37" s="16" t="s">
        <v>156</v>
      </c>
      <c r="G37" s="44"/>
      <c r="H37" s="16"/>
      <c r="I37" s="44"/>
    </row>
    <row r="38" ht="15.75" customHeight="1">
      <c r="B38" s="81">
        <v>27.0</v>
      </c>
      <c r="C38" s="93" t="s">
        <v>182</v>
      </c>
      <c r="D38" s="6"/>
      <c r="F38" s="16" t="s">
        <v>156</v>
      </c>
      <c r="G38" s="44"/>
      <c r="H38" s="16"/>
      <c r="I38" s="44"/>
    </row>
    <row r="39" ht="15.75" customHeight="1">
      <c r="B39" s="81">
        <v>28.0</v>
      </c>
      <c r="C39" s="93" t="s">
        <v>183</v>
      </c>
      <c r="D39" s="6"/>
      <c r="F39" s="16" t="s">
        <v>156</v>
      </c>
      <c r="G39" s="44"/>
      <c r="H39" s="16"/>
      <c r="I39" s="44"/>
    </row>
    <row r="40" ht="15.75" customHeight="1">
      <c r="B40" s="81">
        <v>29.0</v>
      </c>
      <c r="C40" s="93" t="s">
        <v>184</v>
      </c>
      <c r="D40" s="6"/>
      <c r="F40" s="16" t="s">
        <v>156</v>
      </c>
      <c r="G40" s="44"/>
      <c r="H40" s="16"/>
      <c r="I40" s="44"/>
    </row>
    <row r="41" ht="15.75" customHeight="1">
      <c r="B41" s="81">
        <v>30.0</v>
      </c>
      <c r="C41" s="93" t="s">
        <v>185</v>
      </c>
      <c r="D41" s="6"/>
      <c r="F41" s="16"/>
      <c r="G41" s="44"/>
      <c r="H41" s="16"/>
      <c r="I41" s="44"/>
    </row>
    <row r="42" ht="15.75" customHeight="1">
      <c r="B42" s="81">
        <v>31.0</v>
      </c>
      <c r="C42" s="93" t="s">
        <v>186</v>
      </c>
      <c r="D42" s="6"/>
      <c r="F42" s="16"/>
      <c r="G42" s="44"/>
      <c r="H42" s="16"/>
      <c r="I42" s="44"/>
    </row>
    <row r="43" ht="15.75" customHeight="1">
      <c r="B43" s="81">
        <v>32.0</v>
      </c>
      <c r="C43" s="93" t="s">
        <v>187</v>
      </c>
      <c r="D43" s="6"/>
      <c r="F43" s="16" t="s">
        <v>156</v>
      </c>
      <c r="G43" s="44"/>
      <c r="H43" s="16"/>
      <c r="I43" s="44"/>
    </row>
    <row r="44" ht="15.75" customHeight="1">
      <c r="B44" s="81">
        <v>33.0</v>
      </c>
      <c r="C44" s="93" t="s">
        <v>188</v>
      </c>
      <c r="D44" s="6"/>
      <c r="F44" s="16"/>
      <c r="G44" s="44"/>
      <c r="H44" s="16" t="s">
        <v>156</v>
      </c>
      <c r="I44" s="44"/>
    </row>
    <row r="45" ht="15.75" customHeight="1">
      <c r="B45" s="81">
        <v>34.0</v>
      </c>
      <c r="C45" s="93" t="s">
        <v>189</v>
      </c>
      <c r="D45" s="6"/>
      <c r="F45" s="16" t="s">
        <v>156</v>
      </c>
      <c r="G45" s="44"/>
      <c r="H45" s="16"/>
      <c r="I45" s="44"/>
    </row>
    <row r="46" ht="15.75" customHeight="1">
      <c r="B46" s="81">
        <v>35.0</v>
      </c>
      <c r="C46" s="93" t="s">
        <v>190</v>
      </c>
      <c r="D46" s="6"/>
      <c r="F46" s="16" t="s">
        <v>156</v>
      </c>
      <c r="G46" s="44"/>
      <c r="H46" s="16"/>
      <c r="I46" s="44"/>
    </row>
    <row r="47" ht="15.75" customHeight="1">
      <c r="B47" s="81">
        <v>36.0</v>
      </c>
      <c r="C47" s="93" t="s">
        <v>191</v>
      </c>
      <c r="D47" s="6"/>
      <c r="F47" s="16"/>
      <c r="G47" s="44"/>
      <c r="H47" s="16"/>
      <c r="I47" s="44"/>
    </row>
    <row r="48" ht="15.75" customHeight="1">
      <c r="B48" s="81">
        <v>37.0</v>
      </c>
      <c r="C48" s="93" t="s">
        <v>192</v>
      </c>
      <c r="D48" s="6"/>
      <c r="F48" s="16"/>
      <c r="G48" s="44"/>
      <c r="H48" s="16"/>
      <c r="I48" s="44"/>
    </row>
    <row r="49" ht="15.75" customHeight="1">
      <c r="B49" s="81">
        <v>38.0</v>
      </c>
      <c r="C49" s="93" t="s">
        <v>193</v>
      </c>
      <c r="D49" s="6"/>
      <c r="F49" s="16" t="s">
        <v>156</v>
      </c>
      <c r="G49" s="44"/>
      <c r="H49" s="16"/>
      <c r="I49" s="44"/>
    </row>
    <row r="50" ht="15.75" customHeight="1">
      <c r="B50" s="81">
        <v>39.0</v>
      </c>
      <c r="C50" s="93" t="s">
        <v>194</v>
      </c>
      <c r="D50" s="6"/>
      <c r="F50" s="16" t="s">
        <v>156</v>
      </c>
      <c r="G50" s="44"/>
      <c r="H50" s="16"/>
      <c r="I50" s="44"/>
    </row>
    <row r="51" ht="15.75" customHeight="1">
      <c r="B51" s="81">
        <v>40.0</v>
      </c>
      <c r="C51" s="93" t="s">
        <v>195</v>
      </c>
      <c r="D51" s="6"/>
      <c r="F51" s="16" t="s">
        <v>156</v>
      </c>
      <c r="G51" s="44"/>
      <c r="H51" s="16"/>
      <c r="I51" s="44"/>
    </row>
    <row r="52" ht="15.75" customHeight="1">
      <c r="B52" s="81">
        <v>41.0</v>
      </c>
      <c r="C52" s="93" t="s">
        <v>196</v>
      </c>
      <c r="D52" s="6"/>
      <c r="F52" s="16" t="s">
        <v>156</v>
      </c>
      <c r="G52" s="44"/>
      <c r="H52" s="16"/>
      <c r="I52" s="44"/>
    </row>
    <row r="53" ht="15.75" customHeight="1">
      <c r="B53" s="81">
        <v>42.0</v>
      </c>
      <c r="C53" s="93" t="s">
        <v>197</v>
      </c>
      <c r="D53" s="6"/>
      <c r="F53" s="16"/>
      <c r="G53" s="44"/>
      <c r="H53" s="16"/>
      <c r="I53" s="44"/>
    </row>
    <row r="54" ht="15.75" customHeight="1">
      <c r="B54" s="81">
        <v>43.0</v>
      </c>
      <c r="C54" s="93" t="s">
        <v>198</v>
      </c>
      <c r="D54" s="6"/>
      <c r="F54" s="16"/>
      <c r="G54" s="44"/>
      <c r="H54" s="16"/>
      <c r="I54" s="44"/>
    </row>
    <row r="55" ht="15.75" customHeight="1">
      <c r="B55" s="81">
        <v>44.0</v>
      </c>
      <c r="C55" s="93" t="s">
        <v>199</v>
      </c>
      <c r="D55" s="6"/>
      <c r="F55" s="16" t="s">
        <v>156</v>
      </c>
      <c r="G55" s="44"/>
      <c r="H55" s="16"/>
      <c r="I55" s="44"/>
    </row>
    <row r="56" ht="15.75" customHeight="1">
      <c r="B56" s="81">
        <v>45.0</v>
      </c>
      <c r="C56" s="93" t="s">
        <v>200</v>
      </c>
      <c r="D56" s="6"/>
      <c r="F56" s="16"/>
      <c r="G56" s="44"/>
      <c r="H56" s="16" t="s">
        <v>156</v>
      </c>
      <c r="I56" s="44"/>
    </row>
    <row r="57" ht="15.75" customHeight="1">
      <c r="B57" s="81">
        <v>46.0</v>
      </c>
      <c r="C57" s="93" t="s">
        <v>201</v>
      </c>
      <c r="D57" s="6"/>
      <c r="F57" s="16" t="s">
        <v>156</v>
      </c>
      <c r="G57" s="44"/>
      <c r="H57" s="16"/>
      <c r="I57" s="44"/>
    </row>
    <row r="58" ht="15.75" customHeight="1">
      <c r="B58" s="81">
        <v>47.0</v>
      </c>
      <c r="C58" s="93" t="s">
        <v>202</v>
      </c>
      <c r="D58" s="6"/>
      <c r="F58" s="16" t="s">
        <v>156</v>
      </c>
      <c r="G58" s="44"/>
      <c r="H58" s="16"/>
      <c r="I58" s="44"/>
    </row>
    <row r="59" ht="15.75" customHeight="1">
      <c r="B59" s="81">
        <v>48.0</v>
      </c>
      <c r="C59" s="93" t="s">
        <v>203</v>
      </c>
      <c r="D59" s="6"/>
      <c r="F59" s="16"/>
      <c r="G59" s="44"/>
      <c r="H59" s="16"/>
      <c r="I59" s="44"/>
    </row>
    <row r="60" ht="15.75" customHeight="1">
      <c r="B60" s="81">
        <v>49.0</v>
      </c>
      <c r="C60" s="93" t="s">
        <v>204</v>
      </c>
      <c r="D60" s="6"/>
      <c r="F60" s="16"/>
      <c r="G60" s="44"/>
      <c r="H60" s="16"/>
      <c r="I60" s="44"/>
    </row>
    <row r="61" ht="15.75" customHeight="1">
      <c r="B61" s="81">
        <v>50.0</v>
      </c>
      <c r="C61" s="93" t="s">
        <v>205</v>
      </c>
      <c r="D61" s="6"/>
      <c r="F61" s="16"/>
      <c r="G61" s="44"/>
      <c r="H61" s="16"/>
      <c r="I61" s="44"/>
    </row>
    <row r="62" ht="15.75" customHeight="1">
      <c r="B62" s="81">
        <v>51.0</v>
      </c>
      <c r="C62" s="93" t="s">
        <v>206</v>
      </c>
      <c r="D62" s="6"/>
      <c r="F62" s="16"/>
      <c r="G62" s="44"/>
      <c r="H62" s="16"/>
      <c r="I62" s="44"/>
    </row>
    <row r="63" ht="15.75" customHeight="1">
      <c r="B63" s="81">
        <v>52.0</v>
      </c>
      <c r="C63" s="93" t="s">
        <v>207</v>
      </c>
      <c r="D63" s="6"/>
      <c r="F63" s="16" t="s">
        <v>156</v>
      </c>
      <c r="G63" s="44"/>
      <c r="H63" s="16"/>
      <c r="I63" s="44"/>
    </row>
    <row r="64" ht="15.75" customHeight="1">
      <c r="B64" s="81">
        <v>53.0</v>
      </c>
      <c r="C64" s="93" t="s">
        <v>208</v>
      </c>
      <c r="D64" s="6"/>
      <c r="F64" s="16" t="s">
        <v>156</v>
      </c>
      <c r="G64" s="44"/>
      <c r="H64" s="16"/>
      <c r="I64" s="44"/>
    </row>
    <row r="65" ht="15.75" customHeight="1">
      <c r="B65" s="81">
        <v>54.0</v>
      </c>
      <c r="C65" s="93" t="s">
        <v>209</v>
      </c>
      <c r="D65" s="6"/>
      <c r="F65" s="16" t="s">
        <v>156</v>
      </c>
      <c r="G65" s="44"/>
      <c r="H65" s="16"/>
      <c r="I65" s="44"/>
    </row>
    <row r="66" ht="15.75" customHeight="1">
      <c r="B66" s="81">
        <v>55.0</v>
      </c>
      <c r="C66" s="93" t="s">
        <v>210</v>
      </c>
      <c r="D66" s="6"/>
      <c r="F66" s="16" t="s">
        <v>156</v>
      </c>
      <c r="G66" s="44"/>
      <c r="H66" s="16"/>
      <c r="I66" s="44"/>
    </row>
    <row r="67" ht="15.75" customHeight="1">
      <c r="B67" s="81">
        <v>56.0</v>
      </c>
      <c r="C67" s="93" t="s">
        <v>211</v>
      </c>
      <c r="D67" s="6"/>
      <c r="F67" s="16" t="s">
        <v>156</v>
      </c>
      <c r="G67" s="44"/>
      <c r="H67" s="16"/>
      <c r="I67" s="44"/>
    </row>
    <row r="68" ht="15.75" customHeight="1">
      <c r="B68" s="81">
        <v>57.0</v>
      </c>
      <c r="C68" s="93" t="s">
        <v>212</v>
      </c>
      <c r="D68" s="6"/>
      <c r="F68" s="16"/>
      <c r="G68" s="44"/>
      <c r="H68" s="16" t="s">
        <v>156</v>
      </c>
      <c r="I68" s="44"/>
    </row>
    <row r="69" ht="36.75" customHeight="1">
      <c r="B69" s="81">
        <v>58.0</v>
      </c>
      <c r="C69" s="94" t="s">
        <v>213</v>
      </c>
      <c r="D69" s="6"/>
      <c r="F69" s="16" t="s">
        <v>156</v>
      </c>
      <c r="G69" s="44"/>
      <c r="H69" s="16"/>
      <c r="I69" s="44"/>
    </row>
    <row r="70" ht="15.75" customHeight="1">
      <c r="B70" s="81">
        <v>59.0</v>
      </c>
      <c r="C70" s="93" t="s">
        <v>214</v>
      </c>
      <c r="D70" s="6"/>
      <c r="F70" s="16" t="s">
        <v>156</v>
      </c>
      <c r="G70" s="44"/>
      <c r="H70" s="16"/>
      <c r="I70" s="44"/>
    </row>
    <row r="71" ht="33.0" customHeight="1">
      <c r="B71" s="81">
        <v>60.0</v>
      </c>
      <c r="C71" s="94" t="s">
        <v>215</v>
      </c>
      <c r="D71" s="6"/>
      <c r="F71" s="16" t="s">
        <v>156</v>
      </c>
      <c r="G71" s="44"/>
      <c r="H71" s="16"/>
      <c r="I71" s="44"/>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C51:D51"/>
    <mergeCell ref="C52:D52"/>
    <mergeCell ref="C53:D53"/>
    <mergeCell ref="C54:D54"/>
    <mergeCell ref="C55:D55"/>
    <mergeCell ref="C56:D56"/>
    <mergeCell ref="C57:D57"/>
    <mergeCell ref="C65:D65"/>
    <mergeCell ref="C66:D66"/>
    <mergeCell ref="C67:D67"/>
    <mergeCell ref="C68:D68"/>
    <mergeCell ref="C69:D69"/>
    <mergeCell ref="C70:D70"/>
    <mergeCell ref="C71:D71"/>
    <mergeCell ref="C58:D58"/>
    <mergeCell ref="C59:D59"/>
    <mergeCell ref="C60:D60"/>
    <mergeCell ref="C61:D61"/>
    <mergeCell ref="C62:D62"/>
    <mergeCell ref="C63:D63"/>
    <mergeCell ref="C64:D64"/>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6.71"/>
    <col customWidth="1" min="3" max="3" width="10.71"/>
    <col customWidth="1" min="4" max="4" width="109.0"/>
    <col customWidth="1" min="5" max="5" width="10.71"/>
    <col customWidth="1" min="6" max="6" width="6.0"/>
    <col customWidth="1" min="7" max="8" width="10.71"/>
    <col customWidth="1" min="9" max="9" width="15.86"/>
    <col customWidth="1" min="10" max="10" width="10.71"/>
    <col customWidth="1" min="11" max="11" width="14.71"/>
    <col customWidth="1" min="12" max="26" width="10.71"/>
  </cols>
  <sheetData>
    <row r="2">
      <c r="B2" s="52" t="s">
        <v>141</v>
      </c>
      <c r="C2" s="53"/>
      <c r="D2" s="53"/>
      <c r="E2" s="53"/>
      <c r="F2" s="53"/>
      <c r="G2" s="53"/>
      <c r="H2" s="53"/>
      <c r="I2" s="54"/>
      <c r="K2" s="55" t="s">
        <v>9</v>
      </c>
      <c r="L2" s="56"/>
    </row>
    <row r="3">
      <c r="B3" s="57"/>
      <c r="C3" s="57"/>
      <c r="D3" s="57"/>
      <c r="K3" s="44" t="s">
        <v>142</v>
      </c>
      <c r="L3" s="95">
        <f>COUNT(B12:C111)</f>
        <v>100</v>
      </c>
    </row>
    <row r="4">
      <c r="B4" s="59" t="s">
        <v>143</v>
      </c>
      <c r="C4" s="60" t="s">
        <v>144</v>
      </c>
      <c r="K4" s="44" t="s">
        <v>29</v>
      </c>
      <c r="L4" s="95">
        <f>COUNTIF(F12:F111,"X")</f>
        <v>100</v>
      </c>
    </row>
    <row r="5">
      <c r="B5" s="59" t="s">
        <v>145</v>
      </c>
      <c r="C5" s="60" t="s">
        <v>146</v>
      </c>
    </row>
    <row r="6">
      <c r="B6" s="59" t="s">
        <v>147</v>
      </c>
      <c r="C6" s="60" t="s">
        <v>148</v>
      </c>
      <c r="K6" s="44" t="s">
        <v>149</v>
      </c>
      <c r="L6" s="30">
        <f>L3/L4</f>
        <v>1</v>
      </c>
    </row>
    <row r="7">
      <c r="B7" s="63" t="s">
        <v>150</v>
      </c>
      <c r="D7" s="60" t="s">
        <v>151</v>
      </c>
    </row>
    <row r="9">
      <c r="F9" s="65" t="s">
        <v>152</v>
      </c>
      <c r="G9" s="66"/>
      <c r="H9" s="67"/>
      <c r="I9" s="68" t="s">
        <v>153</v>
      </c>
    </row>
    <row r="10">
      <c r="B10" s="69" t="s">
        <v>216</v>
      </c>
      <c r="C10" s="70"/>
      <c r="D10" s="56"/>
      <c r="E10" s="71"/>
      <c r="F10" s="72" t="s">
        <v>143</v>
      </c>
      <c r="G10" s="73" t="s">
        <v>145</v>
      </c>
      <c r="H10" s="73" t="s">
        <v>147</v>
      </c>
      <c r="I10" s="74"/>
      <c r="K10" s="96"/>
    </row>
    <row r="11">
      <c r="B11" s="76"/>
      <c r="C11" s="77"/>
      <c r="D11" s="78"/>
      <c r="I11" s="79"/>
    </row>
    <row r="12" ht="19.5" customHeight="1">
      <c r="B12" s="81">
        <v>1.0</v>
      </c>
      <c r="C12" s="97" t="s">
        <v>217</v>
      </c>
      <c r="D12" s="6"/>
      <c r="E12" s="83"/>
      <c r="F12" s="16" t="s">
        <v>156</v>
      </c>
      <c r="G12" s="16"/>
      <c r="H12" s="16"/>
      <c r="I12" s="44"/>
    </row>
    <row r="13">
      <c r="B13" s="81">
        <v>2.0</v>
      </c>
      <c r="C13" s="97" t="s">
        <v>218</v>
      </c>
      <c r="D13" s="6"/>
      <c r="E13" s="83"/>
      <c r="F13" s="16" t="s">
        <v>156</v>
      </c>
      <c r="G13" s="16"/>
      <c r="H13" s="16"/>
      <c r="I13" s="44"/>
    </row>
    <row r="14">
      <c r="B14" s="81">
        <v>3.0</v>
      </c>
      <c r="C14" s="97" t="s">
        <v>219</v>
      </c>
      <c r="D14" s="6"/>
      <c r="E14" s="83"/>
      <c r="F14" s="16" t="s">
        <v>156</v>
      </c>
      <c r="G14" s="16"/>
      <c r="H14" s="16"/>
      <c r="I14" s="44"/>
    </row>
    <row r="15">
      <c r="B15" s="81">
        <v>4.0</v>
      </c>
      <c r="C15" s="97" t="s">
        <v>220</v>
      </c>
      <c r="D15" s="6"/>
      <c r="E15" s="83"/>
      <c r="F15" s="16" t="s">
        <v>156</v>
      </c>
      <c r="G15" s="16"/>
      <c r="H15" s="16"/>
      <c r="I15" s="44"/>
    </row>
    <row r="16">
      <c r="B16" s="81">
        <v>5.0</v>
      </c>
      <c r="C16" s="97" t="s">
        <v>221</v>
      </c>
      <c r="D16" s="6"/>
      <c r="E16" s="83"/>
      <c r="F16" s="16" t="s">
        <v>156</v>
      </c>
      <c r="G16" s="16"/>
      <c r="H16" s="16"/>
      <c r="I16" s="44"/>
    </row>
    <row r="17">
      <c r="B17" s="81">
        <v>6.0</v>
      </c>
      <c r="C17" s="97" t="s">
        <v>222</v>
      </c>
      <c r="D17" s="6"/>
      <c r="F17" s="16" t="s">
        <v>156</v>
      </c>
      <c r="G17" s="16"/>
      <c r="H17" s="16"/>
      <c r="I17" s="44"/>
    </row>
    <row r="18">
      <c r="B18" s="81">
        <v>7.0</v>
      </c>
      <c r="C18" s="97" t="s">
        <v>223</v>
      </c>
      <c r="D18" s="6"/>
      <c r="F18" s="16" t="s">
        <v>156</v>
      </c>
      <c r="G18" s="16"/>
      <c r="H18" s="16"/>
      <c r="I18" s="44"/>
    </row>
    <row r="19">
      <c r="B19" s="81">
        <v>8.0</v>
      </c>
      <c r="C19" s="97" t="s">
        <v>224</v>
      </c>
      <c r="D19" s="6"/>
      <c r="F19" s="16" t="s">
        <v>156</v>
      </c>
      <c r="G19" s="16"/>
      <c r="H19" s="16"/>
      <c r="I19" s="44"/>
    </row>
    <row r="20">
      <c r="B20" s="81">
        <v>9.0</v>
      </c>
      <c r="C20" s="97" t="s">
        <v>225</v>
      </c>
      <c r="D20" s="6"/>
      <c r="F20" s="16" t="s">
        <v>156</v>
      </c>
      <c r="G20" s="16"/>
      <c r="H20" s="16"/>
      <c r="I20" s="44"/>
    </row>
    <row r="21" ht="15.75" customHeight="1">
      <c r="B21" s="81">
        <v>10.0</v>
      </c>
      <c r="C21" s="97" t="s">
        <v>226</v>
      </c>
      <c r="D21" s="6"/>
      <c r="F21" s="16" t="s">
        <v>156</v>
      </c>
      <c r="G21" s="16"/>
      <c r="H21" s="16"/>
      <c r="I21" s="44"/>
    </row>
    <row r="22" ht="15.75" customHeight="1">
      <c r="B22" s="81">
        <v>11.0</v>
      </c>
      <c r="C22" s="97" t="s">
        <v>227</v>
      </c>
      <c r="D22" s="6"/>
      <c r="F22" s="16" t="s">
        <v>156</v>
      </c>
      <c r="G22" s="16"/>
      <c r="H22" s="16"/>
      <c r="I22" s="44"/>
    </row>
    <row r="23" ht="15.75" customHeight="1">
      <c r="B23" s="81">
        <v>12.0</v>
      </c>
      <c r="C23" s="97" t="s">
        <v>228</v>
      </c>
      <c r="D23" s="6"/>
      <c r="F23" s="16" t="s">
        <v>156</v>
      </c>
      <c r="G23" s="16"/>
      <c r="H23" s="16"/>
      <c r="I23" s="44"/>
    </row>
    <row r="24" ht="15.75" customHeight="1">
      <c r="B24" s="81">
        <v>13.0</v>
      </c>
      <c r="C24" s="97" t="s">
        <v>229</v>
      </c>
      <c r="D24" s="6"/>
      <c r="F24" s="16" t="s">
        <v>156</v>
      </c>
      <c r="G24" s="16"/>
      <c r="H24" s="16"/>
      <c r="I24" s="44"/>
    </row>
    <row r="25" ht="15.75" customHeight="1">
      <c r="B25" s="81">
        <v>14.0</v>
      </c>
      <c r="C25" s="97" t="s">
        <v>230</v>
      </c>
      <c r="D25" s="6"/>
      <c r="F25" s="16" t="s">
        <v>156</v>
      </c>
      <c r="G25" s="16"/>
      <c r="H25" s="16"/>
      <c r="I25" s="44"/>
    </row>
    <row r="26" ht="15.75" customHeight="1">
      <c r="B26" s="81">
        <v>15.0</v>
      </c>
      <c r="C26" s="97" t="s">
        <v>231</v>
      </c>
      <c r="D26" s="6"/>
      <c r="F26" s="16" t="s">
        <v>156</v>
      </c>
      <c r="G26" s="16"/>
      <c r="H26" s="16"/>
      <c r="I26" s="44"/>
    </row>
    <row r="27" ht="15.75" customHeight="1">
      <c r="B27" s="81">
        <v>16.0</v>
      </c>
      <c r="C27" s="97" t="s">
        <v>232</v>
      </c>
      <c r="D27" s="6"/>
      <c r="F27" s="16" t="s">
        <v>156</v>
      </c>
      <c r="G27" s="16"/>
      <c r="H27" s="16"/>
      <c r="I27" s="44"/>
    </row>
    <row r="28" ht="15.75" customHeight="1">
      <c r="B28" s="81">
        <v>17.0</v>
      </c>
      <c r="C28" s="97" t="s">
        <v>233</v>
      </c>
      <c r="D28" s="6"/>
      <c r="F28" s="16" t="s">
        <v>156</v>
      </c>
      <c r="G28" s="16"/>
      <c r="H28" s="16"/>
      <c r="I28" s="44"/>
    </row>
    <row r="29" ht="15.75" customHeight="1">
      <c r="B29" s="81">
        <v>18.0</v>
      </c>
      <c r="C29" s="97" t="s">
        <v>234</v>
      </c>
      <c r="D29" s="6"/>
      <c r="F29" s="16" t="s">
        <v>156</v>
      </c>
      <c r="G29" s="16"/>
      <c r="H29" s="16"/>
      <c r="I29" s="44"/>
    </row>
    <row r="30" ht="15.75" customHeight="1">
      <c r="B30" s="81">
        <v>19.0</v>
      </c>
      <c r="C30" s="97" t="s">
        <v>235</v>
      </c>
      <c r="D30" s="6"/>
      <c r="F30" s="16" t="s">
        <v>156</v>
      </c>
      <c r="G30" s="16"/>
      <c r="H30" s="16"/>
      <c r="I30" s="44"/>
    </row>
    <row r="31" ht="15.75" customHeight="1">
      <c r="B31" s="81">
        <v>20.0</v>
      </c>
      <c r="C31" s="97" t="s">
        <v>236</v>
      </c>
      <c r="D31" s="6"/>
      <c r="F31" s="16" t="s">
        <v>156</v>
      </c>
      <c r="G31" s="16"/>
      <c r="H31" s="16"/>
      <c r="I31" s="44"/>
    </row>
    <row r="32" ht="15.75" customHeight="1">
      <c r="B32" s="81">
        <v>21.0</v>
      </c>
      <c r="C32" s="97" t="s">
        <v>237</v>
      </c>
      <c r="D32" s="6"/>
      <c r="F32" s="16" t="s">
        <v>156</v>
      </c>
      <c r="G32" s="16"/>
      <c r="H32" s="16"/>
      <c r="I32" s="44"/>
    </row>
    <row r="33" ht="15.75" customHeight="1">
      <c r="B33" s="81">
        <v>22.0</v>
      </c>
      <c r="C33" s="97" t="s">
        <v>238</v>
      </c>
      <c r="D33" s="6"/>
      <c r="F33" s="16" t="s">
        <v>156</v>
      </c>
      <c r="G33" s="16"/>
      <c r="H33" s="16"/>
      <c r="I33" s="44"/>
    </row>
    <row r="34" ht="15.75" customHeight="1">
      <c r="B34" s="81">
        <v>23.0</v>
      </c>
      <c r="C34" s="97" t="s">
        <v>239</v>
      </c>
      <c r="D34" s="6"/>
      <c r="F34" s="16" t="s">
        <v>156</v>
      </c>
      <c r="G34" s="16"/>
      <c r="H34" s="16"/>
      <c r="I34" s="44"/>
    </row>
    <row r="35" ht="15.75" customHeight="1">
      <c r="B35" s="81">
        <v>24.0</v>
      </c>
      <c r="C35" s="97" t="s">
        <v>240</v>
      </c>
      <c r="D35" s="6"/>
      <c r="F35" s="16" t="s">
        <v>156</v>
      </c>
      <c r="G35" s="16"/>
      <c r="H35" s="16"/>
      <c r="I35" s="44"/>
    </row>
    <row r="36" ht="15.75" customHeight="1">
      <c r="B36" s="81">
        <v>25.0</v>
      </c>
      <c r="C36" s="97" t="s">
        <v>241</v>
      </c>
      <c r="D36" s="6"/>
      <c r="F36" s="16" t="s">
        <v>156</v>
      </c>
      <c r="G36" s="16"/>
      <c r="H36" s="16"/>
      <c r="I36" s="44"/>
    </row>
    <row r="37" ht="15.75" customHeight="1">
      <c r="B37" s="81">
        <v>26.0</v>
      </c>
      <c r="C37" s="97" t="s">
        <v>242</v>
      </c>
      <c r="D37" s="6"/>
      <c r="F37" s="16" t="s">
        <v>156</v>
      </c>
      <c r="G37" s="16"/>
      <c r="H37" s="16"/>
      <c r="I37" s="44"/>
    </row>
    <row r="38" ht="15.75" customHeight="1">
      <c r="B38" s="81">
        <v>27.0</v>
      </c>
      <c r="C38" s="97" t="s">
        <v>243</v>
      </c>
      <c r="D38" s="6"/>
      <c r="F38" s="16" t="s">
        <v>156</v>
      </c>
      <c r="G38" s="16"/>
      <c r="H38" s="16"/>
      <c r="I38" s="44"/>
    </row>
    <row r="39" ht="15.75" customHeight="1">
      <c r="B39" s="81">
        <v>28.0</v>
      </c>
      <c r="C39" s="97" t="s">
        <v>244</v>
      </c>
      <c r="D39" s="6"/>
      <c r="F39" s="16" t="s">
        <v>156</v>
      </c>
      <c r="G39" s="16"/>
      <c r="H39" s="16"/>
      <c r="I39" s="44"/>
    </row>
    <row r="40" ht="15.75" customHeight="1">
      <c r="B40" s="81">
        <v>29.0</v>
      </c>
      <c r="C40" s="97" t="s">
        <v>245</v>
      </c>
      <c r="D40" s="6"/>
      <c r="F40" s="16" t="s">
        <v>156</v>
      </c>
      <c r="G40" s="16"/>
      <c r="H40" s="16"/>
      <c r="I40" s="44"/>
    </row>
    <row r="41" ht="15.75" customHeight="1">
      <c r="B41" s="81">
        <v>30.0</v>
      </c>
      <c r="C41" s="97" t="s">
        <v>246</v>
      </c>
      <c r="D41" s="6"/>
      <c r="F41" s="16" t="s">
        <v>156</v>
      </c>
      <c r="G41" s="16"/>
      <c r="H41" s="16"/>
      <c r="I41" s="44"/>
    </row>
    <row r="42" ht="15.75" customHeight="1">
      <c r="B42" s="81">
        <v>31.0</v>
      </c>
      <c r="C42" s="97" t="s">
        <v>247</v>
      </c>
      <c r="D42" s="6"/>
      <c r="F42" s="16" t="s">
        <v>156</v>
      </c>
      <c r="G42" s="16"/>
      <c r="H42" s="16"/>
      <c r="I42" s="44"/>
    </row>
    <row r="43" ht="15.75" customHeight="1">
      <c r="B43" s="81">
        <v>32.0</v>
      </c>
      <c r="C43" s="97" t="s">
        <v>248</v>
      </c>
      <c r="D43" s="6"/>
      <c r="F43" s="16" t="s">
        <v>156</v>
      </c>
      <c r="G43" s="16"/>
      <c r="H43" s="16"/>
      <c r="I43" s="44"/>
    </row>
    <row r="44" ht="15.75" customHeight="1">
      <c r="B44" s="81">
        <v>33.0</v>
      </c>
      <c r="C44" s="97" t="s">
        <v>249</v>
      </c>
      <c r="D44" s="6"/>
      <c r="F44" s="16" t="s">
        <v>156</v>
      </c>
      <c r="G44" s="16"/>
      <c r="H44" s="16"/>
      <c r="I44" s="44"/>
    </row>
    <row r="45" ht="15.75" customHeight="1">
      <c r="B45" s="81">
        <v>34.0</v>
      </c>
      <c r="C45" s="97" t="s">
        <v>250</v>
      </c>
      <c r="D45" s="6"/>
      <c r="F45" s="16" t="s">
        <v>156</v>
      </c>
      <c r="G45" s="16"/>
      <c r="H45" s="16"/>
      <c r="I45" s="44"/>
    </row>
    <row r="46" ht="15.75" customHeight="1">
      <c r="B46" s="81">
        <v>35.0</v>
      </c>
      <c r="C46" s="97" t="s">
        <v>251</v>
      </c>
      <c r="D46" s="6"/>
      <c r="F46" s="16" t="s">
        <v>156</v>
      </c>
      <c r="G46" s="16"/>
      <c r="H46" s="16"/>
      <c r="I46" s="44"/>
    </row>
    <row r="47" ht="15.75" customHeight="1">
      <c r="B47" s="81">
        <v>36.0</v>
      </c>
      <c r="C47" s="97" t="s">
        <v>252</v>
      </c>
      <c r="D47" s="6"/>
      <c r="E47" s="83"/>
      <c r="F47" s="16" t="s">
        <v>156</v>
      </c>
      <c r="G47" s="16"/>
      <c r="H47" s="16"/>
      <c r="I47" s="44"/>
    </row>
    <row r="48" ht="15.75" customHeight="1">
      <c r="B48" s="81">
        <v>37.0</v>
      </c>
      <c r="C48" s="97" t="s">
        <v>253</v>
      </c>
      <c r="D48" s="6"/>
      <c r="E48" s="83"/>
      <c r="F48" s="16" t="s">
        <v>156</v>
      </c>
      <c r="G48" s="16"/>
      <c r="H48" s="16"/>
      <c r="I48" s="44"/>
    </row>
    <row r="49" ht="15.75" customHeight="1">
      <c r="B49" s="81">
        <v>38.0</v>
      </c>
      <c r="C49" s="97" t="s">
        <v>254</v>
      </c>
      <c r="D49" s="6"/>
      <c r="E49" s="83"/>
      <c r="F49" s="16" t="s">
        <v>156</v>
      </c>
      <c r="G49" s="16"/>
      <c r="H49" s="16"/>
      <c r="I49" s="44"/>
    </row>
    <row r="50" ht="15.75" customHeight="1">
      <c r="B50" s="81">
        <v>39.0</v>
      </c>
      <c r="C50" s="97" t="s">
        <v>255</v>
      </c>
      <c r="D50" s="6"/>
      <c r="E50" s="83"/>
      <c r="F50" s="16" t="s">
        <v>156</v>
      </c>
      <c r="G50" s="16"/>
      <c r="H50" s="16"/>
      <c r="I50" s="44"/>
    </row>
    <row r="51" ht="15.75" customHeight="1">
      <c r="B51" s="81">
        <v>40.0</v>
      </c>
      <c r="C51" s="97" t="s">
        <v>256</v>
      </c>
      <c r="D51" s="6"/>
      <c r="E51" s="83"/>
      <c r="F51" s="16" t="s">
        <v>156</v>
      </c>
      <c r="G51" s="16"/>
      <c r="H51" s="16"/>
      <c r="I51" s="44"/>
    </row>
    <row r="52" ht="15.75" customHeight="1">
      <c r="B52" s="81">
        <v>41.0</v>
      </c>
      <c r="C52" s="97" t="s">
        <v>257</v>
      </c>
      <c r="D52" s="6"/>
      <c r="F52" s="16" t="s">
        <v>156</v>
      </c>
      <c r="G52" s="16"/>
      <c r="H52" s="16"/>
      <c r="I52" s="44"/>
    </row>
    <row r="53" ht="15.75" customHeight="1">
      <c r="B53" s="81">
        <v>42.0</v>
      </c>
      <c r="C53" s="97" t="s">
        <v>258</v>
      </c>
      <c r="D53" s="6"/>
      <c r="F53" s="16" t="s">
        <v>156</v>
      </c>
      <c r="G53" s="16"/>
      <c r="H53" s="16"/>
      <c r="I53" s="44"/>
    </row>
    <row r="54" ht="15.75" customHeight="1">
      <c r="B54" s="81">
        <v>43.0</v>
      </c>
      <c r="C54" s="97" t="s">
        <v>259</v>
      </c>
      <c r="D54" s="6"/>
      <c r="F54" s="16" t="s">
        <v>156</v>
      </c>
      <c r="G54" s="16"/>
      <c r="H54" s="16"/>
      <c r="I54" s="44"/>
    </row>
    <row r="55" ht="15.75" customHeight="1">
      <c r="B55" s="81">
        <v>44.0</v>
      </c>
      <c r="C55" s="97" t="s">
        <v>260</v>
      </c>
      <c r="D55" s="6"/>
      <c r="F55" s="16" t="s">
        <v>156</v>
      </c>
      <c r="G55" s="16"/>
      <c r="H55" s="16"/>
      <c r="I55" s="44"/>
    </row>
    <row r="56" ht="15.75" customHeight="1">
      <c r="B56" s="81">
        <v>45.0</v>
      </c>
      <c r="C56" s="97" t="s">
        <v>261</v>
      </c>
      <c r="D56" s="6"/>
      <c r="F56" s="16" t="s">
        <v>156</v>
      </c>
      <c r="G56" s="16"/>
      <c r="H56" s="16"/>
      <c r="I56" s="44"/>
    </row>
    <row r="57" ht="15.75" customHeight="1">
      <c r="B57" s="81">
        <v>46.0</v>
      </c>
      <c r="C57" s="97" t="s">
        <v>262</v>
      </c>
      <c r="D57" s="6"/>
      <c r="F57" s="16" t="s">
        <v>156</v>
      </c>
      <c r="G57" s="16"/>
      <c r="H57" s="16"/>
      <c r="I57" s="44"/>
    </row>
    <row r="58" ht="15.75" customHeight="1">
      <c r="B58" s="81">
        <v>47.0</v>
      </c>
      <c r="C58" s="97" t="s">
        <v>263</v>
      </c>
      <c r="D58" s="6"/>
      <c r="F58" s="16" t="s">
        <v>156</v>
      </c>
      <c r="G58" s="16"/>
      <c r="H58" s="16"/>
      <c r="I58" s="44"/>
    </row>
    <row r="59" ht="15.75" customHeight="1">
      <c r="B59" s="81">
        <v>48.0</v>
      </c>
      <c r="C59" s="97" t="s">
        <v>264</v>
      </c>
      <c r="D59" s="6"/>
      <c r="F59" s="16" t="s">
        <v>156</v>
      </c>
      <c r="G59" s="16"/>
      <c r="H59" s="16"/>
      <c r="I59" s="44"/>
    </row>
    <row r="60" ht="15.75" customHeight="1">
      <c r="B60" s="81">
        <v>49.0</v>
      </c>
      <c r="C60" s="97" t="s">
        <v>265</v>
      </c>
      <c r="D60" s="6"/>
      <c r="F60" s="16" t="s">
        <v>156</v>
      </c>
      <c r="G60" s="16"/>
      <c r="H60" s="16"/>
      <c r="I60" s="44"/>
    </row>
    <row r="61" ht="15.75" customHeight="1">
      <c r="B61" s="81">
        <v>50.0</v>
      </c>
      <c r="C61" s="97" t="s">
        <v>266</v>
      </c>
      <c r="D61" s="6"/>
      <c r="F61" s="16" t="s">
        <v>156</v>
      </c>
      <c r="G61" s="16"/>
      <c r="H61" s="16"/>
      <c r="I61" s="44"/>
    </row>
    <row r="62" ht="15.75" customHeight="1">
      <c r="B62" s="81">
        <v>51.0</v>
      </c>
      <c r="C62" s="97" t="s">
        <v>267</v>
      </c>
      <c r="D62" s="6"/>
      <c r="F62" s="16" t="s">
        <v>156</v>
      </c>
      <c r="G62" s="16"/>
      <c r="H62" s="16"/>
      <c r="I62" s="44"/>
    </row>
    <row r="63" ht="15.75" customHeight="1">
      <c r="B63" s="81">
        <v>52.0</v>
      </c>
      <c r="C63" s="97" t="s">
        <v>268</v>
      </c>
      <c r="D63" s="6"/>
      <c r="F63" s="16" t="s">
        <v>156</v>
      </c>
      <c r="G63" s="16"/>
      <c r="H63" s="16"/>
      <c r="I63" s="44"/>
    </row>
    <row r="64" ht="15.75" customHeight="1">
      <c r="B64" s="81">
        <v>53.0</v>
      </c>
      <c r="C64" s="97" t="s">
        <v>269</v>
      </c>
      <c r="D64" s="6"/>
      <c r="F64" s="16" t="s">
        <v>156</v>
      </c>
      <c r="G64" s="16"/>
      <c r="H64" s="16"/>
      <c r="I64" s="44"/>
    </row>
    <row r="65" ht="15.75" customHeight="1">
      <c r="B65" s="81">
        <v>54.0</v>
      </c>
      <c r="C65" s="97" t="s">
        <v>270</v>
      </c>
      <c r="D65" s="6"/>
      <c r="F65" s="16" t="s">
        <v>156</v>
      </c>
      <c r="G65" s="16"/>
      <c r="H65" s="16"/>
      <c r="I65" s="44"/>
    </row>
    <row r="66" ht="15.75" customHeight="1">
      <c r="B66" s="81">
        <v>55.0</v>
      </c>
      <c r="C66" s="97" t="s">
        <v>271</v>
      </c>
      <c r="D66" s="6"/>
      <c r="F66" s="16" t="s">
        <v>156</v>
      </c>
      <c r="G66" s="16"/>
      <c r="H66" s="16"/>
      <c r="I66" s="44"/>
    </row>
    <row r="67" ht="15.75" customHeight="1">
      <c r="B67" s="81">
        <v>56.0</v>
      </c>
      <c r="C67" s="97" t="s">
        <v>272</v>
      </c>
      <c r="D67" s="6"/>
      <c r="E67" s="83"/>
      <c r="F67" s="16" t="s">
        <v>156</v>
      </c>
      <c r="G67" s="16"/>
      <c r="H67" s="16"/>
      <c r="I67" s="44"/>
    </row>
    <row r="68" ht="15.75" customHeight="1">
      <c r="B68" s="81">
        <v>57.0</v>
      </c>
      <c r="C68" s="97" t="s">
        <v>273</v>
      </c>
      <c r="D68" s="6"/>
      <c r="E68" s="83"/>
      <c r="F68" s="16" t="s">
        <v>156</v>
      </c>
      <c r="G68" s="16"/>
      <c r="H68" s="16"/>
      <c r="I68" s="44"/>
    </row>
    <row r="69" ht="15.75" customHeight="1">
      <c r="B69" s="81">
        <v>58.0</v>
      </c>
      <c r="C69" s="97" t="s">
        <v>274</v>
      </c>
      <c r="D69" s="6"/>
      <c r="E69" s="83"/>
      <c r="F69" s="16" t="s">
        <v>156</v>
      </c>
      <c r="G69" s="16"/>
      <c r="H69" s="16"/>
      <c r="I69" s="44"/>
    </row>
    <row r="70" ht="15.75" customHeight="1">
      <c r="B70" s="81">
        <v>59.0</v>
      </c>
      <c r="C70" s="97" t="s">
        <v>275</v>
      </c>
      <c r="D70" s="6"/>
      <c r="E70" s="83"/>
      <c r="F70" s="16" t="s">
        <v>156</v>
      </c>
      <c r="G70" s="16"/>
      <c r="H70" s="16"/>
      <c r="I70" s="44"/>
    </row>
    <row r="71" ht="15.75" customHeight="1">
      <c r="B71" s="81">
        <v>60.0</v>
      </c>
      <c r="C71" s="97" t="s">
        <v>276</v>
      </c>
      <c r="D71" s="6"/>
      <c r="E71" s="83"/>
      <c r="F71" s="16" t="s">
        <v>156</v>
      </c>
      <c r="G71" s="16"/>
      <c r="H71" s="16"/>
      <c r="I71" s="44"/>
    </row>
    <row r="72" ht="15.75" customHeight="1">
      <c r="B72" s="81">
        <v>61.0</v>
      </c>
      <c r="C72" s="97" t="s">
        <v>277</v>
      </c>
      <c r="D72" s="6"/>
      <c r="F72" s="16" t="s">
        <v>156</v>
      </c>
      <c r="G72" s="16"/>
      <c r="H72" s="16"/>
      <c r="I72" s="44"/>
    </row>
    <row r="73" ht="15.75" customHeight="1">
      <c r="B73" s="81">
        <v>62.0</v>
      </c>
      <c r="C73" s="97" t="s">
        <v>278</v>
      </c>
      <c r="D73" s="6"/>
      <c r="F73" s="16" t="s">
        <v>156</v>
      </c>
      <c r="G73" s="16"/>
      <c r="H73" s="16"/>
      <c r="I73" s="44"/>
    </row>
    <row r="74" ht="15.75" customHeight="1">
      <c r="B74" s="81">
        <v>63.0</v>
      </c>
      <c r="C74" s="97" t="s">
        <v>279</v>
      </c>
      <c r="D74" s="6"/>
      <c r="F74" s="16" t="s">
        <v>156</v>
      </c>
      <c r="G74" s="16"/>
      <c r="H74" s="16"/>
      <c r="I74" s="44"/>
    </row>
    <row r="75" ht="15.75" customHeight="1">
      <c r="B75" s="81">
        <v>64.0</v>
      </c>
      <c r="C75" s="97" t="s">
        <v>280</v>
      </c>
      <c r="D75" s="6"/>
      <c r="F75" s="16" t="s">
        <v>156</v>
      </c>
      <c r="G75" s="16"/>
      <c r="H75" s="16"/>
      <c r="I75" s="44"/>
    </row>
    <row r="76" ht="15.75" customHeight="1">
      <c r="B76" s="81">
        <v>65.0</v>
      </c>
      <c r="C76" s="97" t="s">
        <v>281</v>
      </c>
      <c r="D76" s="6"/>
      <c r="F76" s="16" t="s">
        <v>156</v>
      </c>
      <c r="G76" s="16"/>
      <c r="H76" s="16"/>
      <c r="I76" s="44"/>
    </row>
    <row r="77" ht="15.75" customHeight="1">
      <c r="B77" s="81">
        <v>66.0</v>
      </c>
      <c r="C77" s="97" t="s">
        <v>282</v>
      </c>
      <c r="D77" s="6"/>
      <c r="F77" s="16" t="s">
        <v>156</v>
      </c>
      <c r="G77" s="16"/>
      <c r="H77" s="16"/>
      <c r="I77" s="44"/>
    </row>
    <row r="78" ht="15.75" customHeight="1">
      <c r="B78" s="81">
        <v>67.0</v>
      </c>
      <c r="C78" s="97" t="s">
        <v>283</v>
      </c>
      <c r="D78" s="6"/>
      <c r="F78" s="16" t="s">
        <v>156</v>
      </c>
      <c r="G78" s="16"/>
      <c r="H78" s="16"/>
      <c r="I78" s="44"/>
    </row>
    <row r="79" ht="15.75" customHeight="1">
      <c r="B79" s="81">
        <v>68.0</v>
      </c>
      <c r="C79" s="97" t="s">
        <v>284</v>
      </c>
      <c r="D79" s="6"/>
      <c r="F79" s="16" t="s">
        <v>156</v>
      </c>
      <c r="G79" s="16"/>
      <c r="H79" s="16"/>
      <c r="I79" s="44"/>
    </row>
    <row r="80" ht="15.75" customHeight="1">
      <c r="B80" s="81">
        <v>69.0</v>
      </c>
      <c r="C80" s="97" t="s">
        <v>285</v>
      </c>
      <c r="D80" s="6"/>
      <c r="F80" s="16" t="s">
        <v>156</v>
      </c>
      <c r="G80" s="16"/>
      <c r="H80" s="16"/>
      <c r="I80" s="44"/>
    </row>
    <row r="81" ht="15.75" customHeight="1">
      <c r="B81" s="81">
        <v>70.0</v>
      </c>
      <c r="C81" s="97" t="s">
        <v>286</v>
      </c>
      <c r="D81" s="6"/>
      <c r="F81" s="16" t="s">
        <v>156</v>
      </c>
      <c r="G81" s="16"/>
      <c r="H81" s="16"/>
      <c r="I81" s="44"/>
    </row>
    <row r="82" ht="15.75" customHeight="1">
      <c r="B82" s="81">
        <v>71.0</v>
      </c>
      <c r="C82" s="97" t="s">
        <v>287</v>
      </c>
      <c r="D82" s="6"/>
      <c r="F82" s="16" t="s">
        <v>156</v>
      </c>
      <c r="G82" s="16"/>
      <c r="H82" s="16"/>
      <c r="I82" s="44"/>
    </row>
    <row r="83" ht="15.75" customHeight="1">
      <c r="B83" s="81">
        <v>72.0</v>
      </c>
      <c r="C83" s="97" t="s">
        <v>288</v>
      </c>
      <c r="D83" s="6"/>
      <c r="F83" s="16" t="s">
        <v>156</v>
      </c>
      <c r="G83" s="16"/>
      <c r="H83" s="16"/>
      <c r="I83" s="44"/>
    </row>
    <row r="84" ht="15.75" customHeight="1">
      <c r="B84" s="81">
        <v>73.0</v>
      </c>
      <c r="C84" s="97" t="s">
        <v>289</v>
      </c>
      <c r="D84" s="6"/>
      <c r="F84" s="16" t="s">
        <v>156</v>
      </c>
      <c r="G84" s="16"/>
      <c r="H84" s="16"/>
      <c r="I84" s="44"/>
    </row>
    <row r="85" ht="15.75" customHeight="1">
      <c r="B85" s="81">
        <v>74.0</v>
      </c>
      <c r="C85" s="97" t="s">
        <v>290</v>
      </c>
      <c r="D85" s="6"/>
      <c r="F85" s="16" t="s">
        <v>156</v>
      </c>
      <c r="G85" s="16"/>
      <c r="H85" s="16"/>
      <c r="I85" s="44"/>
    </row>
    <row r="86" ht="15.75" customHeight="1">
      <c r="B86" s="81">
        <v>75.0</v>
      </c>
      <c r="C86" s="97" t="s">
        <v>291</v>
      </c>
      <c r="D86" s="6"/>
      <c r="F86" s="16" t="s">
        <v>156</v>
      </c>
      <c r="G86" s="16"/>
      <c r="H86" s="16"/>
      <c r="I86" s="44"/>
    </row>
    <row r="87" ht="15.75" customHeight="1">
      <c r="B87" s="81">
        <v>76.0</v>
      </c>
      <c r="C87" s="97" t="s">
        <v>292</v>
      </c>
      <c r="D87" s="6"/>
      <c r="F87" s="16" t="s">
        <v>156</v>
      </c>
      <c r="G87" s="16"/>
      <c r="H87" s="16"/>
      <c r="I87" s="44"/>
    </row>
    <row r="88" ht="15.75" customHeight="1">
      <c r="B88" s="81">
        <v>77.0</v>
      </c>
      <c r="C88" s="97" t="s">
        <v>293</v>
      </c>
      <c r="D88" s="6"/>
      <c r="F88" s="16" t="s">
        <v>156</v>
      </c>
      <c r="G88" s="16"/>
      <c r="H88" s="16"/>
      <c r="I88" s="44"/>
    </row>
    <row r="89" ht="15.75" customHeight="1">
      <c r="B89" s="81">
        <v>78.0</v>
      </c>
      <c r="C89" s="97" t="s">
        <v>294</v>
      </c>
      <c r="D89" s="6"/>
      <c r="F89" s="16" t="s">
        <v>156</v>
      </c>
      <c r="G89" s="16"/>
      <c r="H89" s="16"/>
      <c r="I89" s="44"/>
    </row>
    <row r="90" ht="15.75" customHeight="1">
      <c r="B90" s="81">
        <v>79.0</v>
      </c>
      <c r="C90" s="97" t="s">
        <v>295</v>
      </c>
      <c r="D90" s="6"/>
      <c r="F90" s="16" t="s">
        <v>156</v>
      </c>
      <c r="G90" s="16"/>
      <c r="H90" s="16"/>
      <c r="I90" s="44"/>
    </row>
    <row r="91" ht="15.75" customHeight="1">
      <c r="B91" s="81">
        <v>80.0</v>
      </c>
      <c r="C91" s="97" t="s">
        <v>296</v>
      </c>
      <c r="D91" s="6"/>
      <c r="F91" s="16" t="s">
        <v>156</v>
      </c>
      <c r="G91" s="16"/>
      <c r="H91" s="16"/>
      <c r="I91" s="44"/>
    </row>
    <row r="92" ht="15.75" customHeight="1">
      <c r="B92" s="81">
        <v>81.0</v>
      </c>
      <c r="C92" s="97" t="s">
        <v>297</v>
      </c>
      <c r="D92" s="6"/>
      <c r="F92" s="16" t="s">
        <v>156</v>
      </c>
      <c r="G92" s="16"/>
      <c r="H92" s="16"/>
      <c r="I92" s="44"/>
    </row>
    <row r="93" ht="15.75" customHeight="1">
      <c r="B93" s="81">
        <v>82.0</v>
      </c>
      <c r="C93" s="97" t="s">
        <v>298</v>
      </c>
      <c r="D93" s="6"/>
      <c r="F93" s="16" t="s">
        <v>156</v>
      </c>
      <c r="G93" s="16"/>
      <c r="H93" s="16"/>
      <c r="I93" s="44"/>
    </row>
    <row r="94" ht="15.75" customHeight="1">
      <c r="B94" s="81">
        <v>83.0</v>
      </c>
      <c r="C94" s="97" t="s">
        <v>299</v>
      </c>
      <c r="D94" s="6"/>
      <c r="F94" s="16" t="s">
        <v>156</v>
      </c>
      <c r="G94" s="16"/>
      <c r="H94" s="16"/>
      <c r="I94" s="44"/>
    </row>
    <row r="95" ht="15.75" customHeight="1">
      <c r="B95" s="81">
        <v>84.0</v>
      </c>
      <c r="C95" s="97" t="s">
        <v>300</v>
      </c>
      <c r="D95" s="6"/>
      <c r="F95" s="16" t="s">
        <v>156</v>
      </c>
      <c r="G95" s="16"/>
      <c r="H95" s="16"/>
      <c r="I95" s="44"/>
    </row>
    <row r="96" ht="15.75" customHeight="1">
      <c r="B96" s="81">
        <v>85.0</v>
      </c>
      <c r="C96" s="97" t="s">
        <v>301</v>
      </c>
      <c r="D96" s="6"/>
      <c r="F96" s="16" t="s">
        <v>156</v>
      </c>
      <c r="G96" s="16"/>
      <c r="H96" s="16"/>
      <c r="I96" s="44"/>
    </row>
    <row r="97" ht="15.75" customHeight="1">
      <c r="B97" s="81">
        <v>86.0</v>
      </c>
      <c r="C97" s="97" t="s">
        <v>302</v>
      </c>
      <c r="D97" s="6"/>
      <c r="E97" s="83"/>
      <c r="F97" s="16" t="s">
        <v>156</v>
      </c>
      <c r="G97" s="16"/>
      <c r="H97" s="16"/>
      <c r="I97" s="44"/>
    </row>
    <row r="98" ht="15.75" customHeight="1">
      <c r="B98" s="81">
        <v>87.0</v>
      </c>
      <c r="C98" s="97" t="s">
        <v>303</v>
      </c>
      <c r="D98" s="6"/>
      <c r="E98" s="83"/>
      <c r="F98" s="16" t="s">
        <v>156</v>
      </c>
      <c r="G98" s="16"/>
      <c r="H98" s="16"/>
      <c r="I98" s="44"/>
    </row>
    <row r="99" ht="15.75" customHeight="1">
      <c r="B99" s="81">
        <v>88.0</v>
      </c>
      <c r="C99" s="97" t="s">
        <v>304</v>
      </c>
      <c r="D99" s="6"/>
      <c r="E99" s="83"/>
      <c r="F99" s="16" t="s">
        <v>156</v>
      </c>
      <c r="G99" s="16"/>
      <c r="H99" s="16"/>
      <c r="I99" s="44"/>
    </row>
    <row r="100" ht="15.75" customHeight="1">
      <c r="B100" s="81">
        <v>89.0</v>
      </c>
      <c r="C100" s="97" t="s">
        <v>305</v>
      </c>
      <c r="D100" s="6"/>
      <c r="E100" s="83"/>
      <c r="F100" s="16" t="s">
        <v>156</v>
      </c>
      <c r="G100" s="16"/>
      <c r="H100" s="16"/>
      <c r="I100" s="44"/>
    </row>
    <row r="101" ht="15.75" customHeight="1">
      <c r="B101" s="81">
        <v>90.0</v>
      </c>
      <c r="C101" s="97" t="s">
        <v>306</v>
      </c>
      <c r="D101" s="6"/>
      <c r="E101" s="83"/>
      <c r="F101" s="16" t="s">
        <v>156</v>
      </c>
      <c r="G101" s="16"/>
      <c r="H101" s="16"/>
      <c r="I101" s="44"/>
    </row>
    <row r="102" ht="15.75" customHeight="1">
      <c r="B102" s="81">
        <v>91.0</v>
      </c>
      <c r="C102" s="97" t="s">
        <v>307</v>
      </c>
      <c r="D102" s="6"/>
      <c r="F102" s="16" t="s">
        <v>156</v>
      </c>
      <c r="G102" s="16"/>
      <c r="H102" s="16"/>
      <c r="I102" s="44"/>
    </row>
    <row r="103" ht="15.75" customHeight="1">
      <c r="B103" s="81">
        <v>92.0</v>
      </c>
      <c r="C103" s="97" t="s">
        <v>308</v>
      </c>
      <c r="D103" s="6"/>
      <c r="F103" s="16" t="s">
        <v>156</v>
      </c>
      <c r="G103" s="16"/>
      <c r="H103" s="16"/>
      <c r="I103" s="44"/>
    </row>
    <row r="104" ht="15.75" customHeight="1">
      <c r="B104" s="81">
        <v>93.0</v>
      </c>
      <c r="C104" s="97" t="s">
        <v>309</v>
      </c>
      <c r="D104" s="6"/>
      <c r="F104" s="16" t="s">
        <v>156</v>
      </c>
      <c r="G104" s="16"/>
      <c r="H104" s="16"/>
      <c r="I104" s="44"/>
    </row>
    <row r="105" ht="15.75" customHeight="1">
      <c r="B105" s="81">
        <v>94.0</v>
      </c>
      <c r="C105" s="97" t="s">
        <v>310</v>
      </c>
      <c r="D105" s="6"/>
      <c r="F105" s="16" t="s">
        <v>156</v>
      </c>
      <c r="G105" s="16"/>
      <c r="H105" s="16"/>
      <c r="I105" s="44"/>
    </row>
    <row r="106" ht="15.75" customHeight="1">
      <c r="B106" s="81">
        <v>95.0</v>
      </c>
      <c r="C106" s="97" t="s">
        <v>311</v>
      </c>
      <c r="D106" s="6"/>
      <c r="F106" s="16" t="s">
        <v>156</v>
      </c>
      <c r="G106" s="16"/>
      <c r="H106" s="16"/>
      <c r="I106" s="44"/>
    </row>
    <row r="107" ht="15.75" customHeight="1">
      <c r="B107" s="81">
        <v>96.0</v>
      </c>
      <c r="C107" s="97" t="s">
        <v>312</v>
      </c>
      <c r="D107" s="6"/>
      <c r="F107" s="16" t="s">
        <v>156</v>
      </c>
      <c r="G107" s="16"/>
      <c r="H107" s="16"/>
      <c r="I107" s="44"/>
    </row>
    <row r="108" ht="15.75" customHeight="1">
      <c r="B108" s="81">
        <v>97.0</v>
      </c>
      <c r="C108" s="97" t="s">
        <v>313</v>
      </c>
      <c r="D108" s="6"/>
      <c r="F108" s="16" t="s">
        <v>156</v>
      </c>
      <c r="G108" s="16"/>
      <c r="H108" s="16"/>
      <c r="I108" s="44"/>
    </row>
    <row r="109" ht="15.75" customHeight="1">
      <c r="B109" s="81">
        <v>98.0</v>
      </c>
      <c r="C109" s="97" t="s">
        <v>314</v>
      </c>
      <c r="D109" s="6"/>
      <c r="F109" s="16" t="s">
        <v>156</v>
      </c>
      <c r="G109" s="16"/>
      <c r="H109" s="16"/>
      <c r="I109" s="44"/>
    </row>
    <row r="110" ht="15.75" customHeight="1">
      <c r="B110" s="81">
        <v>99.0</v>
      </c>
      <c r="C110" s="97" t="s">
        <v>315</v>
      </c>
      <c r="D110" s="6"/>
      <c r="F110" s="16" t="s">
        <v>156</v>
      </c>
      <c r="G110" s="16"/>
      <c r="H110" s="16"/>
      <c r="I110" s="44"/>
    </row>
    <row r="111" ht="15.75" customHeight="1">
      <c r="B111" s="81">
        <v>100.0</v>
      </c>
      <c r="C111" s="97" t="s">
        <v>316</v>
      </c>
      <c r="D111" s="6"/>
      <c r="F111" s="16" t="s">
        <v>156</v>
      </c>
      <c r="G111" s="16"/>
      <c r="H111" s="16"/>
      <c r="I111" s="44"/>
    </row>
    <row r="112" ht="15.75" customHeight="1">
      <c r="F112" s="98"/>
    </row>
    <row r="113" ht="15.75" customHeight="1">
      <c r="F113" s="98"/>
    </row>
    <row r="114" ht="15.75" customHeight="1">
      <c r="F114" s="98"/>
    </row>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0">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107:D107"/>
    <mergeCell ref="C108:D108"/>
    <mergeCell ref="C109:D109"/>
    <mergeCell ref="C110:D110"/>
    <mergeCell ref="C111:D111"/>
    <mergeCell ref="C100:D100"/>
    <mergeCell ref="C101:D101"/>
    <mergeCell ref="C102:D102"/>
    <mergeCell ref="C103:D103"/>
    <mergeCell ref="C104:D104"/>
    <mergeCell ref="C105:D105"/>
    <mergeCell ref="C106:D106"/>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43"/>
    <col customWidth="1" min="3" max="3" width="10.71"/>
    <col customWidth="1" min="4" max="4" width="109.0"/>
    <col customWidth="1" min="5" max="5" width="10.71"/>
    <col customWidth="1" min="6" max="6" width="6.0"/>
    <col customWidth="1" min="7" max="8" width="10.71"/>
    <col customWidth="1" min="9" max="9" width="15.86"/>
    <col customWidth="1" min="10" max="10" width="10.71"/>
    <col customWidth="1" min="11" max="11" width="14.71"/>
    <col customWidth="1" min="12" max="12" width="10.71"/>
  </cols>
  <sheetData>
    <row r="2">
      <c r="B2" s="52" t="s">
        <v>141</v>
      </c>
      <c r="C2" s="53"/>
      <c r="D2" s="53"/>
      <c r="E2" s="53"/>
      <c r="F2" s="53"/>
      <c r="G2" s="53"/>
      <c r="H2" s="53"/>
      <c r="I2" s="54"/>
      <c r="K2" s="55" t="s">
        <v>9</v>
      </c>
      <c r="L2" s="56"/>
    </row>
    <row r="3">
      <c r="B3" s="57"/>
      <c r="C3" s="57"/>
      <c r="D3" s="57"/>
      <c r="K3" s="44" t="s">
        <v>142</v>
      </c>
      <c r="L3" s="95">
        <f>COUNT(B12:D108)</f>
        <v>97</v>
      </c>
    </row>
    <row r="4">
      <c r="B4" s="59" t="s">
        <v>143</v>
      </c>
      <c r="C4" s="60" t="s">
        <v>144</v>
      </c>
      <c r="K4" s="44" t="s">
        <v>29</v>
      </c>
      <c r="L4" s="95">
        <f>COUNTIF(F12:F108,"X")</f>
        <v>97</v>
      </c>
    </row>
    <row r="5">
      <c r="B5" s="59" t="s">
        <v>145</v>
      </c>
      <c r="C5" s="60" t="s">
        <v>146</v>
      </c>
    </row>
    <row r="6">
      <c r="B6" s="59" t="s">
        <v>147</v>
      </c>
      <c r="C6" s="60" t="s">
        <v>148</v>
      </c>
      <c r="K6" s="44" t="s">
        <v>149</v>
      </c>
      <c r="L6" s="30">
        <f>L3/L4</f>
        <v>1</v>
      </c>
    </row>
    <row r="7">
      <c r="B7" s="63" t="s">
        <v>150</v>
      </c>
      <c r="D7" s="60" t="s">
        <v>151</v>
      </c>
    </row>
    <row r="9">
      <c r="F9" s="65" t="s">
        <v>152</v>
      </c>
      <c r="G9" s="66"/>
      <c r="H9" s="67"/>
      <c r="I9" s="68" t="s">
        <v>153</v>
      </c>
    </row>
    <row r="10">
      <c r="B10" s="69" t="s">
        <v>317</v>
      </c>
      <c r="C10" s="70"/>
      <c r="D10" s="56"/>
      <c r="E10" s="71"/>
      <c r="F10" s="72" t="s">
        <v>143</v>
      </c>
      <c r="G10" s="73" t="s">
        <v>145</v>
      </c>
      <c r="H10" s="73" t="s">
        <v>147</v>
      </c>
      <c r="I10" s="74"/>
      <c r="K10" s="96"/>
    </row>
    <row r="11">
      <c r="B11" s="76"/>
      <c r="C11" s="77"/>
      <c r="D11" s="78"/>
      <c r="I11" s="79"/>
    </row>
    <row r="12" ht="19.5" customHeight="1">
      <c r="B12" s="81">
        <v>1.0</v>
      </c>
      <c r="C12" s="97" t="s">
        <v>318</v>
      </c>
      <c r="D12" s="6"/>
      <c r="E12" s="83"/>
      <c r="F12" s="16" t="s">
        <v>156</v>
      </c>
      <c r="G12" s="16"/>
      <c r="H12" s="16"/>
      <c r="I12" s="44"/>
    </row>
    <row r="13">
      <c r="B13" s="81">
        <v>2.0</v>
      </c>
      <c r="C13" s="97" t="s">
        <v>319</v>
      </c>
      <c r="D13" s="6"/>
      <c r="E13" s="83"/>
      <c r="F13" s="16" t="s">
        <v>156</v>
      </c>
      <c r="G13" s="16"/>
      <c r="H13" s="16"/>
      <c r="I13" s="44"/>
    </row>
    <row r="14">
      <c r="B14" s="81">
        <v>3.0</v>
      </c>
      <c r="C14" s="97" t="s">
        <v>320</v>
      </c>
      <c r="D14" s="6"/>
      <c r="E14" s="83"/>
      <c r="F14" s="16" t="s">
        <v>156</v>
      </c>
      <c r="G14" s="16"/>
      <c r="H14" s="16"/>
      <c r="I14" s="44"/>
    </row>
    <row r="15">
      <c r="B15" s="81">
        <v>4.0</v>
      </c>
      <c r="C15" s="97" t="s">
        <v>321</v>
      </c>
      <c r="D15" s="6"/>
      <c r="E15" s="83"/>
      <c r="F15" s="16" t="s">
        <v>156</v>
      </c>
      <c r="G15" s="16"/>
      <c r="H15" s="16"/>
      <c r="I15" s="44"/>
    </row>
    <row r="16">
      <c r="B16" s="81">
        <v>5.0</v>
      </c>
      <c r="C16" s="97" t="s">
        <v>221</v>
      </c>
      <c r="D16" s="6"/>
      <c r="E16" s="83"/>
      <c r="F16" s="16" t="s">
        <v>156</v>
      </c>
      <c r="G16" s="16"/>
      <c r="H16" s="16"/>
      <c r="I16" s="44"/>
    </row>
    <row r="17">
      <c r="B17" s="81">
        <v>6.0</v>
      </c>
      <c r="C17" s="97" t="s">
        <v>222</v>
      </c>
      <c r="D17" s="6"/>
      <c r="F17" s="16" t="s">
        <v>156</v>
      </c>
      <c r="G17" s="16"/>
      <c r="H17" s="16"/>
      <c r="I17" s="44"/>
    </row>
    <row r="18">
      <c r="B18" s="81">
        <v>7.0</v>
      </c>
      <c r="C18" s="97" t="s">
        <v>223</v>
      </c>
      <c r="D18" s="6"/>
      <c r="F18" s="16" t="s">
        <v>156</v>
      </c>
      <c r="G18" s="16"/>
      <c r="H18" s="16"/>
      <c r="I18" s="44"/>
    </row>
    <row r="19">
      <c r="B19" s="81">
        <v>8.0</v>
      </c>
      <c r="C19" s="97" t="s">
        <v>224</v>
      </c>
      <c r="D19" s="6"/>
      <c r="F19" s="16" t="s">
        <v>156</v>
      </c>
      <c r="G19" s="16"/>
      <c r="H19" s="16"/>
      <c r="I19" s="44"/>
    </row>
    <row r="20">
      <c r="B20" s="81">
        <v>9.0</v>
      </c>
      <c r="C20" s="97" t="s">
        <v>225</v>
      </c>
      <c r="D20" s="6"/>
      <c r="F20" s="16" t="s">
        <v>156</v>
      </c>
      <c r="G20" s="16"/>
      <c r="H20" s="16"/>
      <c r="I20" s="44"/>
    </row>
    <row r="21" ht="15.75" customHeight="1">
      <c r="B21" s="81">
        <v>10.0</v>
      </c>
      <c r="C21" s="97" t="s">
        <v>226</v>
      </c>
      <c r="D21" s="6"/>
      <c r="F21" s="16" t="s">
        <v>156</v>
      </c>
      <c r="G21" s="16"/>
      <c r="H21" s="16"/>
      <c r="I21" s="44"/>
    </row>
    <row r="22" ht="15.75" customHeight="1">
      <c r="B22" s="81">
        <v>11.0</v>
      </c>
      <c r="C22" s="97" t="s">
        <v>227</v>
      </c>
      <c r="D22" s="6"/>
      <c r="F22" s="16" t="s">
        <v>156</v>
      </c>
      <c r="G22" s="16"/>
      <c r="H22" s="16"/>
      <c r="I22" s="44"/>
    </row>
    <row r="23" ht="15.75" customHeight="1">
      <c r="B23" s="81">
        <v>12.0</v>
      </c>
      <c r="C23" s="97" t="s">
        <v>228</v>
      </c>
      <c r="D23" s="6"/>
      <c r="F23" s="16" t="s">
        <v>156</v>
      </c>
      <c r="G23" s="16"/>
      <c r="H23" s="16"/>
      <c r="I23" s="44"/>
    </row>
    <row r="24" ht="15.75" customHeight="1">
      <c r="B24" s="81">
        <v>13.0</v>
      </c>
      <c r="C24" s="97" t="s">
        <v>229</v>
      </c>
      <c r="D24" s="6"/>
      <c r="F24" s="16" t="s">
        <v>156</v>
      </c>
      <c r="G24" s="16"/>
      <c r="H24" s="16"/>
      <c r="I24" s="44"/>
    </row>
    <row r="25" ht="15.75" customHeight="1">
      <c r="B25" s="81">
        <v>14.0</v>
      </c>
      <c r="C25" s="97" t="s">
        <v>230</v>
      </c>
      <c r="D25" s="6"/>
      <c r="F25" s="16" t="s">
        <v>156</v>
      </c>
      <c r="G25" s="16"/>
      <c r="H25" s="16"/>
      <c r="I25" s="44"/>
    </row>
    <row r="26" ht="15.75" customHeight="1">
      <c r="B26" s="81">
        <v>15.0</v>
      </c>
      <c r="C26" s="97" t="s">
        <v>231</v>
      </c>
      <c r="D26" s="6"/>
      <c r="F26" s="16" t="s">
        <v>156</v>
      </c>
      <c r="G26" s="16"/>
      <c r="H26" s="16"/>
      <c r="I26" s="44"/>
    </row>
    <row r="27" ht="15.75" customHeight="1">
      <c r="B27" s="81">
        <v>16.0</v>
      </c>
      <c r="C27" s="97" t="s">
        <v>232</v>
      </c>
      <c r="D27" s="6"/>
      <c r="F27" s="16" t="s">
        <v>156</v>
      </c>
      <c r="G27" s="16"/>
      <c r="H27" s="16"/>
      <c r="I27" s="44"/>
    </row>
    <row r="28" ht="15.75" customHeight="1">
      <c r="B28" s="81">
        <v>17.0</v>
      </c>
      <c r="C28" s="97" t="s">
        <v>233</v>
      </c>
      <c r="D28" s="6"/>
      <c r="F28" s="16" t="s">
        <v>156</v>
      </c>
      <c r="G28" s="16"/>
      <c r="H28" s="16"/>
      <c r="I28" s="44"/>
    </row>
    <row r="29" ht="15.75" customHeight="1">
      <c r="B29" s="81">
        <v>18.0</v>
      </c>
      <c r="C29" s="97" t="s">
        <v>234</v>
      </c>
      <c r="D29" s="6"/>
      <c r="F29" s="16" t="s">
        <v>156</v>
      </c>
      <c r="G29" s="16"/>
      <c r="H29" s="16"/>
      <c r="I29" s="44"/>
    </row>
    <row r="30" ht="15.75" customHeight="1">
      <c r="B30" s="81">
        <v>19.0</v>
      </c>
      <c r="C30" s="97" t="s">
        <v>235</v>
      </c>
      <c r="D30" s="6"/>
      <c r="F30" s="16" t="s">
        <v>156</v>
      </c>
      <c r="G30" s="16"/>
      <c r="H30" s="16"/>
      <c r="I30" s="44"/>
    </row>
    <row r="31" ht="15.75" customHeight="1">
      <c r="B31" s="81">
        <v>20.0</v>
      </c>
      <c r="C31" s="97" t="s">
        <v>236</v>
      </c>
      <c r="D31" s="6"/>
      <c r="F31" s="16" t="s">
        <v>156</v>
      </c>
      <c r="G31" s="16"/>
      <c r="H31" s="16"/>
      <c r="I31" s="44"/>
    </row>
    <row r="32" ht="15.75" customHeight="1">
      <c r="B32" s="81">
        <v>21.0</v>
      </c>
      <c r="C32" s="97" t="s">
        <v>237</v>
      </c>
      <c r="D32" s="6"/>
      <c r="F32" s="16" t="s">
        <v>156</v>
      </c>
      <c r="G32" s="16"/>
      <c r="H32" s="16"/>
      <c r="I32" s="44"/>
    </row>
    <row r="33" ht="15.75" customHeight="1">
      <c r="B33" s="81">
        <v>22.0</v>
      </c>
      <c r="C33" s="97" t="s">
        <v>238</v>
      </c>
      <c r="D33" s="6"/>
      <c r="F33" s="16" t="s">
        <v>156</v>
      </c>
      <c r="G33" s="16"/>
      <c r="H33" s="16"/>
      <c r="I33" s="44"/>
    </row>
    <row r="34" ht="15.75" customHeight="1">
      <c r="B34" s="81">
        <v>23.0</v>
      </c>
      <c r="C34" s="97" t="s">
        <v>239</v>
      </c>
      <c r="D34" s="6"/>
      <c r="F34" s="16" t="s">
        <v>156</v>
      </c>
      <c r="G34" s="16"/>
      <c r="H34" s="16"/>
      <c r="I34" s="44"/>
    </row>
    <row r="35" ht="15.75" customHeight="1">
      <c r="B35" s="81">
        <v>24.0</v>
      </c>
      <c r="C35" s="97" t="s">
        <v>240</v>
      </c>
      <c r="D35" s="6"/>
      <c r="F35" s="16" t="s">
        <v>156</v>
      </c>
      <c r="G35" s="16"/>
      <c r="H35" s="16"/>
      <c r="I35" s="44"/>
    </row>
    <row r="36" ht="15.75" customHeight="1">
      <c r="B36" s="81">
        <v>25.0</v>
      </c>
      <c r="C36" s="97" t="s">
        <v>241</v>
      </c>
      <c r="D36" s="6"/>
      <c r="F36" s="16" t="s">
        <v>156</v>
      </c>
      <c r="G36" s="16"/>
      <c r="H36" s="16"/>
      <c r="I36" s="44"/>
    </row>
    <row r="37" ht="15.75" customHeight="1">
      <c r="B37" s="81">
        <v>26.0</v>
      </c>
      <c r="C37" s="97" t="s">
        <v>242</v>
      </c>
      <c r="D37" s="6"/>
      <c r="F37" s="16" t="s">
        <v>156</v>
      </c>
      <c r="G37" s="16"/>
      <c r="H37" s="16"/>
      <c r="I37" s="44"/>
    </row>
    <row r="38" ht="15.75" customHeight="1">
      <c r="B38" s="81">
        <v>27.0</v>
      </c>
      <c r="C38" s="97" t="s">
        <v>243</v>
      </c>
      <c r="D38" s="6"/>
      <c r="F38" s="16" t="s">
        <v>156</v>
      </c>
      <c r="G38" s="16"/>
      <c r="H38" s="16"/>
      <c r="I38" s="44"/>
    </row>
    <row r="39" ht="15.75" customHeight="1">
      <c r="B39" s="81">
        <v>28.0</v>
      </c>
      <c r="C39" s="97" t="s">
        <v>244</v>
      </c>
      <c r="D39" s="6"/>
      <c r="F39" s="16" t="s">
        <v>156</v>
      </c>
      <c r="G39" s="16"/>
      <c r="H39" s="16"/>
      <c r="I39" s="44"/>
    </row>
    <row r="40" ht="15.75" customHeight="1">
      <c r="B40" s="81">
        <v>29.0</v>
      </c>
      <c r="C40" s="97" t="s">
        <v>245</v>
      </c>
      <c r="D40" s="6"/>
      <c r="F40" s="16" t="s">
        <v>156</v>
      </c>
      <c r="G40" s="16"/>
      <c r="H40" s="16"/>
      <c r="I40" s="44"/>
    </row>
    <row r="41" ht="15.75" customHeight="1">
      <c r="B41" s="81">
        <v>30.0</v>
      </c>
      <c r="C41" s="97" t="s">
        <v>246</v>
      </c>
      <c r="D41" s="6"/>
      <c r="F41" s="16" t="s">
        <v>156</v>
      </c>
      <c r="G41" s="16"/>
      <c r="H41" s="16"/>
      <c r="I41" s="44"/>
    </row>
    <row r="42" ht="15.75" customHeight="1">
      <c r="B42" s="81">
        <v>31.0</v>
      </c>
      <c r="C42" s="97" t="s">
        <v>247</v>
      </c>
      <c r="D42" s="6"/>
      <c r="F42" s="16" t="s">
        <v>156</v>
      </c>
      <c r="G42" s="16"/>
      <c r="H42" s="16"/>
      <c r="I42" s="44"/>
    </row>
    <row r="43" ht="15.75" customHeight="1">
      <c r="B43" s="81">
        <v>32.0</v>
      </c>
      <c r="C43" s="97" t="s">
        <v>248</v>
      </c>
      <c r="D43" s="6"/>
      <c r="F43" s="16" t="s">
        <v>156</v>
      </c>
      <c r="G43" s="16"/>
      <c r="H43" s="16"/>
      <c r="I43" s="44"/>
    </row>
    <row r="44" ht="15.75" customHeight="1">
      <c r="B44" s="81">
        <v>33.0</v>
      </c>
      <c r="C44" s="97" t="s">
        <v>249</v>
      </c>
      <c r="D44" s="6"/>
      <c r="F44" s="16" t="s">
        <v>156</v>
      </c>
      <c r="G44" s="16"/>
      <c r="H44" s="16"/>
      <c r="I44" s="44"/>
    </row>
    <row r="45" ht="15.75" customHeight="1">
      <c r="B45" s="81">
        <v>34.0</v>
      </c>
      <c r="C45" s="97" t="s">
        <v>250</v>
      </c>
      <c r="D45" s="6"/>
      <c r="F45" s="16" t="s">
        <v>156</v>
      </c>
      <c r="G45" s="16"/>
      <c r="H45" s="16"/>
      <c r="I45" s="44"/>
    </row>
    <row r="46" ht="15.75" customHeight="1">
      <c r="B46" s="81">
        <v>35.0</v>
      </c>
      <c r="C46" s="97" t="s">
        <v>251</v>
      </c>
      <c r="D46" s="6"/>
      <c r="F46" s="16" t="s">
        <v>156</v>
      </c>
      <c r="G46" s="16"/>
      <c r="H46" s="16"/>
      <c r="I46" s="44"/>
    </row>
    <row r="47" ht="15.75" customHeight="1">
      <c r="B47" s="81">
        <v>36.0</v>
      </c>
      <c r="C47" s="97" t="s">
        <v>252</v>
      </c>
      <c r="D47" s="6"/>
      <c r="E47" s="83"/>
      <c r="F47" s="16" t="s">
        <v>156</v>
      </c>
      <c r="G47" s="16"/>
      <c r="H47" s="16"/>
      <c r="I47" s="44"/>
    </row>
    <row r="48" ht="15.75" customHeight="1">
      <c r="B48" s="81">
        <v>37.0</v>
      </c>
      <c r="C48" s="97" t="s">
        <v>253</v>
      </c>
      <c r="D48" s="6"/>
      <c r="E48" s="83"/>
      <c r="F48" s="16" t="s">
        <v>156</v>
      </c>
      <c r="G48" s="16"/>
      <c r="H48" s="16"/>
      <c r="I48" s="44"/>
    </row>
    <row r="49" ht="15.75" customHeight="1">
      <c r="B49" s="81">
        <v>38.0</v>
      </c>
      <c r="C49" s="97" t="s">
        <v>254</v>
      </c>
      <c r="D49" s="6"/>
      <c r="E49" s="83"/>
      <c r="F49" s="16" t="s">
        <v>156</v>
      </c>
      <c r="G49" s="16"/>
      <c r="H49" s="16"/>
      <c r="I49" s="44"/>
    </row>
    <row r="50" ht="15.75" customHeight="1">
      <c r="B50" s="81">
        <v>39.0</v>
      </c>
      <c r="C50" s="97" t="s">
        <v>255</v>
      </c>
      <c r="D50" s="6"/>
      <c r="E50" s="83"/>
      <c r="F50" s="16" t="s">
        <v>156</v>
      </c>
      <c r="G50" s="16"/>
      <c r="H50" s="16"/>
      <c r="I50" s="44"/>
    </row>
    <row r="51" ht="15.75" customHeight="1">
      <c r="B51" s="81">
        <v>40.0</v>
      </c>
      <c r="C51" s="97" t="s">
        <v>256</v>
      </c>
      <c r="D51" s="6"/>
      <c r="E51" s="83"/>
      <c r="F51" s="16" t="s">
        <v>156</v>
      </c>
      <c r="G51" s="16"/>
      <c r="H51" s="16"/>
      <c r="I51" s="44"/>
    </row>
    <row r="52" ht="15.75" customHeight="1">
      <c r="B52" s="81">
        <v>41.0</v>
      </c>
      <c r="C52" s="97" t="s">
        <v>257</v>
      </c>
      <c r="D52" s="6"/>
      <c r="F52" s="16" t="s">
        <v>156</v>
      </c>
      <c r="G52" s="16"/>
      <c r="H52" s="16"/>
      <c r="I52" s="44"/>
    </row>
    <row r="53" ht="15.75" customHeight="1">
      <c r="B53" s="81">
        <v>42.0</v>
      </c>
      <c r="C53" s="97" t="s">
        <v>258</v>
      </c>
      <c r="D53" s="6"/>
      <c r="F53" s="16" t="s">
        <v>156</v>
      </c>
      <c r="G53" s="16"/>
      <c r="H53" s="16"/>
      <c r="I53" s="44"/>
    </row>
    <row r="54" ht="15.75" customHeight="1">
      <c r="B54" s="81">
        <v>43.0</v>
      </c>
      <c r="C54" s="97" t="s">
        <v>259</v>
      </c>
      <c r="D54" s="6"/>
      <c r="F54" s="16" t="s">
        <v>156</v>
      </c>
      <c r="G54" s="16"/>
      <c r="H54" s="16"/>
      <c r="I54" s="44"/>
    </row>
    <row r="55" ht="15.75" customHeight="1">
      <c r="B55" s="81">
        <v>44.0</v>
      </c>
      <c r="C55" s="97" t="s">
        <v>260</v>
      </c>
      <c r="D55" s="6"/>
      <c r="F55" s="16" t="s">
        <v>156</v>
      </c>
      <c r="G55" s="16"/>
      <c r="H55" s="16"/>
      <c r="I55" s="44"/>
    </row>
    <row r="56" ht="15.75" customHeight="1">
      <c r="B56" s="81">
        <v>45.0</v>
      </c>
      <c r="C56" s="97" t="s">
        <v>261</v>
      </c>
      <c r="D56" s="6"/>
      <c r="F56" s="16" t="s">
        <v>156</v>
      </c>
      <c r="G56" s="16"/>
      <c r="H56" s="16"/>
      <c r="I56" s="44"/>
    </row>
    <row r="57" ht="15.75" customHeight="1">
      <c r="B57" s="81">
        <v>46.0</v>
      </c>
      <c r="C57" s="97" t="s">
        <v>262</v>
      </c>
      <c r="D57" s="6"/>
      <c r="F57" s="16" t="s">
        <v>156</v>
      </c>
      <c r="G57" s="16"/>
      <c r="H57" s="16"/>
      <c r="I57" s="44"/>
    </row>
    <row r="58" ht="15.75" customHeight="1">
      <c r="B58" s="81">
        <v>47.0</v>
      </c>
      <c r="C58" s="97" t="s">
        <v>263</v>
      </c>
      <c r="D58" s="6"/>
      <c r="F58" s="16" t="s">
        <v>156</v>
      </c>
      <c r="G58" s="16"/>
      <c r="H58" s="16"/>
      <c r="I58" s="44"/>
    </row>
    <row r="59" ht="15.75" customHeight="1">
      <c r="B59" s="81">
        <v>48.0</v>
      </c>
      <c r="C59" s="97" t="s">
        <v>264</v>
      </c>
      <c r="D59" s="6"/>
      <c r="F59" s="16" t="s">
        <v>156</v>
      </c>
      <c r="G59" s="16"/>
      <c r="H59" s="16"/>
      <c r="I59" s="44"/>
    </row>
    <row r="60" ht="15.75" customHeight="1">
      <c r="B60" s="81">
        <v>49.0</v>
      </c>
      <c r="C60" s="97" t="s">
        <v>265</v>
      </c>
      <c r="D60" s="6"/>
      <c r="F60" s="16" t="s">
        <v>156</v>
      </c>
      <c r="G60" s="16"/>
      <c r="H60" s="16"/>
      <c r="I60" s="44"/>
    </row>
    <row r="61" ht="15.75" customHeight="1">
      <c r="B61" s="81">
        <v>50.0</v>
      </c>
      <c r="C61" s="97" t="s">
        <v>266</v>
      </c>
      <c r="D61" s="6"/>
      <c r="F61" s="16" t="s">
        <v>156</v>
      </c>
      <c r="G61" s="16"/>
      <c r="H61" s="16"/>
      <c r="I61" s="44"/>
    </row>
    <row r="62" ht="15.75" customHeight="1">
      <c r="B62" s="81">
        <v>51.0</v>
      </c>
      <c r="C62" s="97" t="s">
        <v>267</v>
      </c>
      <c r="D62" s="6"/>
      <c r="F62" s="16" t="s">
        <v>156</v>
      </c>
      <c r="G62" s="16"/>
      <c r="H62" s="16"/>
      <c r="I62" s="44"/>
    </row>
    <row r="63" ht="15.75" customHeight="1">
      <c r="B63" s="81">
        <v>52.0</v>
      </c>
      <c r="C63" s="97" t="s">
        <v>268</v>
      </c>
      <c r="D63" s="6"/>
      <c r="F63" s="16" t="s">
        <v>156</v>
      </c>
      <c r="G63" s="16"/>
      <c r="H63" s="16"/>
      <c r="I63" s="44"/>
    </row>
    <row r="64" ht="15.75" customHeight="1">
      <c r="B64" s="81">
        <v>53.0</v>
      </c>
      <c r="C64" s="97" t="s">
        <v>269</v>
      </c>
      <c r="D64" s="6"/>
      <c r="F64" s="16" t="s">
        <v>156</v>
      </c>
      <c r="G64" s="16"/>
      <c r="H64" s="16"/>
      <c r="I64" s="44"/>
    </row>
    <row r="65" ht="15.75" customHeight="1">
      <c r="B65" s="81">
        <v>54.0</v>
      </c>
      <c r="C65" s="97" t="s">
        <v>270</v>
      </c>
      <c r="D65" s="6"/>
      <c r="F65" s="16" t="s">
        <v>156</v>
      </c>
      <c r="G65" s="16"/>
      <c r="H65" s="16"/>
      <c r="I65" s="44"/>
    </row>
    <row r="66" ht="15.75" customHeight="1">
      <c r="B66" s="81">
        <v>55.0</v>
      </c>
      <c r="C66" s="97" t="s">
        <v>271</v>
      </c>
      <c r="D66" s="6"/>
      <c r="F66" s="16" t="s">
        <v>156</v>
      </c>
      <c r="G66" s="16"/>
      <c r="H66" s="16"/>
      <c r="I66" s="44"/>
    </row>
    <row r="67" ht="15.75" customHeight="1">
      <c r="B67" s="81">
        <v>56.0</v>
      </c>
      <c r="C67" s="97" t="s">
        <v>272</v>
      </c>
      <c r="D67" s="6"/>
      <c r="E67" s="83"/>
      <c r="F67" s="16" t="s">
        <v>156</v>
      </c>
      <c r="G67" s="16"/>
      <c r="H67" s="16"/>
      <c r="I67" s="44"/>
    </row>
    <row r="68" ht="15.75" customHeight="1">
      <c r="B68" s="81">
        <v>57.0</v>
      </c>
      <c r="C68" s="97" t="s">
        <v>273</v>
      </c>
      <c r="D68" s="6"/>
      <c r="E68" s="83"/>
      <c r="F68" s="16" t="s">
        <v>156</v>
      </c>
      <c r="G68" s="16"/>
      <c r="H68" s="16"/>
      <c r="I68" s="44"/>
    </row>
    <row r="69" ht="15.75" customHeight="1">
      <c r="B69" s="81">
        <v>58.0</v>
      </c>
      <c r="C69" s="97" t="s">
        <v>274</v>
      </c>
      <c r="D69" s="6"/>
      <c r="E69" s="83"/>
      <c r="F69" s="16" t="s">
        <v>156</v>
      </c>
      <c r="G69" s="16"/>
      <c r="H69" s="16"/>
      <c r="I69" s="44"/>
    </row>
    <row r="70" ht="15.75" customHeight="1">
      <c r="B70" s="81">
        <v>59.0</v>
      </c>
      <c r="C70" s="97" t="s">
        <v>275</v>
      </c>
      <c r="D70" s="6"/>
      <c r="E70" s="83"/>
      <c r="F70" s="16" t="s">
        <v>156</v>
      </c>
      <c r="G70" s="16"/>
      <c r="H70" s="16"/>
      <c r="I70" s="44"/>
    </row>
    <row r="71" ht="15.75" customHeight="1">
      <c r="B71" s="81">
        <v>60.0</v>
      </c>
      <c r="C71" s="97" t="s">
        <v>276</v>
      </c>
      <c r="D71" s="6"/>
      <c r="E71" s="83"/>
      <c r="F71" s="16" t="s">
        <v>156</v>
      </c>
      <c r="G71" s="16"/>
      <c r="H71" s="16"/>
      <c r="I71" s="44"/>
    </row>
    <row r="72" ht="15.75" customHeight="1">
      <c r="B72" s="81">
        <v>61.0</v>
      </c>
      <c r="C72" s="97" t="s">
        <v>277</v>
      </c>
      <c r="D72" s="6"/>
      <c r="F72" s="16" t="s">
        <v>156</v>
      </c>
      <c r="G72" s="16"/>
      <c r="H72" s="16"/>
      <c r="I72" s="44"/>
    </row>
    <row r="73" ht="15.75" customHeight="1">
      <c r="B73" s="81">
        <v>62.0</v>
      </c>
      <c r="C73" s="97" t="s">
        <v>278</v>
      </c>
      <c r="D73" s="6"/>
      <c r="F73" s="16" t="s">
        <v>156</v>
      </c>
      <c r="G73" s="16"/>
      <c r="H73" s="16"/>
      <c r="I73" s="44"/>
    </row>
    <row r="74" ht="15.75" customHeight="1">
      <c r="B74" s="81">
        <v>63.0</v>
      </c>
      <c r="C74" s="97" t="s">
        <v>279</v>
      </c>
      <c r="D74" s="6"/>
      <c r="F74" s="16" t="s">
        <v>156</v>
      </c>
      <c r="G74" s="16"/>
      <c r="H74" s="16"/>
      <c r="I74" s="44"/>
    </row>
    <row r="75" ht="15.75" customHeight="1">
      <c r="B75" s="81">
        <v>64.0</v>
      </c>
      <c r="C75" s="97" t="s">
        <v>280</v>
      </c>
      <c r="D75" s="6"/>
      <c r="F75" s="16" t="s">
        <v>156</v>
      </c>
      <c r="G75" s="16"/>
      <c r="H75" s="16"/>
      <c r="I75" s="44"/>
    </row>
    <row r="76" ht="15.75" customHeight="1">
      <c r="B76" s="81">
        <v>65.0</v>
      </c>
      <c r="C76" s="97" t="s">
        <v>281</v>
      </c>
      <c r="D76" s="6"/>
      <c r="F76" s="16" t="s">
        <v>156</v>
      </c>
      <c r="G76" s="16"/>
      <c r="H76" s="16"/>
      <c r="I76" s="44"/>
    </row>
    <row r="77" ht="15.75" customHeight="1">
      <c r="B77" s="81">
        <v>66.0</v>
      </c>
      <c r="C77" s="97" t="s">
        <v>282</v>
      </c>
      <c r="D77" s="6"/>
      <c r="F77" s="16" t="s">
        <v>156</v>
      </c>
      <c r="G77" s="16"/>
      <c r="H77" s="16"/>
      <c r="I77" s="44"/>
    </row>
    <row r="78" ht="15.75" customHeight="1">
      <c r="B78" s="81">
        <v>67.0</v>
      </c>
      <c r="C78" s="97" t="s">
        <v>283</v>
      </c>
      <c r="D78" s="6"/>
      <c r="F78" s="16" t="s">
        <v>156</v>
      </c>
      <c r="G78" s="16"/>
      <c r="H78" s="16"/>
      <c r="I78" s="44"/>
    </row>
    <row r="79" ht="15.75" customHeight="1">
      <c r="B79" s="81">
        <v>68.0</v>
      </c>
      <c r="C79" s="97" t="s">
        <v>284</v>
      </c>
      <c r="D79" s="6"/>
      <c r="F79" s="16" t="s">
        <v>156</v>
      </c>
      <c r="G79" s="16"/>
      <c r="H79" s="16"/>
      <c r="I79" s="44"/>
    </row>
    <row r="80" ht="15.75" customHeight="1">
      <c r="B80" s="81">
        <v>69.0</v>
      </c>
      <c r="C80" s="97" t="s">
        <v>285</v>
      </c>
      <c r="D80" s="6"/>
      <c r="F80" s="16" t="s">
        <v>156</v>
      </c>
      <c r="G80" s="16"/>
      <c r="H80" s="16"/>
      <c r="I80" s="44"/>
    </row>
    <row r="81" ht="15.75" customHeight="1">
      <c r="B81" s="81">
        <v>70.0</v>
      </c>
      <c r="C81" s="97" t="s">
        <v>286</v>
      </c>
      <c r="D81" s="6"/>
      <c r="F81" s="16" t="s">
        <v>156</v>
      </c>
      <c r="G81" s="16"/>
      <c r="H81" s="16"/>
      <c r="I81" s="44"/>
    </row>
    <row r="82" ht="15.75" customHeight="1">
      <c r="B82" s="81">
        <v>71.0</v>
      </c>
      <c r="C82" s="97" t="s">
        <v>287</v>
      </c>
      <c r="D82" s="6"/>
      <c r="F82" s="16" t="s">
        <v>156</v>
      </c>
      <c r="G82" s="16"/>
      <c r="H82" s="16"/>
      <c r="I82" s="44"/>
    </row>
    <row r="83" ht="15.75" customHeight="1">
      <c r="B83" s="81">
        <v>72.0</v>
      </c>
      <c r="C83" s="97" t="s">
        <v>288</v>
      </c>
      <c r="D83" s="6"/>
      <c r="F83" s="16" t="s">
        <v>156</v>
      </c>
      <c r="G83" s="16"/>
      <c r="H83" s="16"/>
      <c r="I83" s="44"/>
    </row>
    <row r="84" ht="15.75" customHeight="1">
      <c r="B84" s="81">
        <v>73.0</v>
      </c>
      <c r="C84" s="97" t="s">
        <v>289</v>
      </c>
      <c r="D84" s="6"/>
      <c r="F84" s="16" t="s">
        <v>156</v>
      </c>
      <c r="G84" s="16"/>
      <c r="H84" s="16"/>
      <c r="I84" s="44"/>
    </row>
    <row r="85" ht="15.75" customHeight="1">
      <c r="B85" s="81">
        <v>74.0</v>
      </c>
      <c r="C85" s="97" t="s">
        <v>290</v>
      </c>
      <c r="D85" s="6"/>
      <c r="F85" s="16" t="s">
        <v>156</v>
      </c>
      <c r="G85" s="16"/>
      <c r="H85" s="16"/>
      <c r="I85" s="44"/>
    </row>
    <row r="86" ht="15.75" customHeight="1">
      <c r="B86" s="81">
        <v>75.0</v>
      </c>
      <c r="C86" s="97" t="s">
        <v>291</v>
      </c>
      <c r="D86" s="6"/>
      <c r="F86" s="16" t="s">
        <v>156</v>
      </c>
      <c r="G86" s="16"/>
      <c r="H86" s="16"/>
      <c r="I86" s="44"/>
    </row>
    <row r="87" ht="15.75" customHeight="1">
      <c r="B87" s="81">
        <v>76.0</v>
      </c>
      <c r="C87" s="97" t="s">
        <v>292</v>
      </c>
      <c r="D87" s="6"/>
      <c r="F87" s="16" t="s">
        <v>156</v>
      </c>
      <c r="G87" s="16"/>
      <c r="H87" s="16"/>
      <c r="I87" s="44"/>
    </row>
    <row r="88" ht="15.75" customHeight="1">
      <c r="B88" s="81">
        <v>77.0</v>
      </c>
      <c r="C88" s="97" t="s">
        <v>293</v>
      </c>
      <c r="D88" s="6"/>
      <c r="F88" s="16" t="s">
        <v>156</v>
      </c>
      <c r="G88" s="16"/>
      <c r="H88" s="16"/>
      <c r="I88" s="44"/>
    </row>
    <row r="89" ht="15.75" customHeight="1">
      <c r="B89" s="81">
        <v>78.0</v>
      </c>
      <c r="C89" s="97" t="s">
        <v>294</v>
      </c>
      <c r="D89" s="6"/>
      <c r="F89" s="16" t="s">
        <v>156</v>
      </c>
      <c r="G89" s="16"/>
      <c r="H89" s="16"/>
      <c r="I89" s="44"/>
    </row>
    <row r="90" ht="15.75" customHeight="1">
      <c r="B90" s="81">
        <v>79.0</v>
      </c>
      <c r="C90" s="97" t="s">
        <v>295</v>
      </c>
      <c r="D90" s="6"/>
      <c r="F90" s="16" t="s">
        <v>156</v>
      </c>
      <c r="G90" s="16"/>
      <c r="H90" s="16"/>
      <c r="I90" s="44"/>
    </row>
    <row r="91" ht="15.75" customHeight="1">
      <c r="B91" s="81">
        <v>80.0</v>
      </c>
      <c r="C91" s="97" t="s">
        <v>296</v>
      </c>
      <c r="D91" s="6"/>
      <c r="F91" s="16" t="s">
        <v>156</v>
      </c>
      <c r="G91" s="16"/>
      <c r="H91" s="16"/>
      <c r="I91" s="44"/>
    </row>
    <row r="92" ht="15.75" customHeight="1">
      <c r="B92" s="81">
        <v>81.0</v>
      </c>
      <c r="C92" s="97" t="s">
        <v>297</v>
      </c>
      <c r="D92" s="6"/>
      <c r="F92" s="16" t="s">
        <v>156</v>
      </c>
      <c r="G92" s="16"/>
      <c r="H92" s="16"/>
      <c r="I92" s="44"/>
    </row>
    <row r="93" ht="15.75" customHeight="1">
      <c r="B93" s="81">
        <v>82.0</v>
      </c>
      <c r="C93" s="97" t="s">
        <v>298</v>
      </c>
      <c r="D93" s="6"/>
      <c r="F93" s="16" t="s">
        <v>156</v>
      </c>
      <c r="G93" s="16"/>
      <c r="H93" s="16"/>
      <c r="I93" s="44"/>
    </row>
    <row r="94" ht="15.75" customHeight="1">
      <c r="B94" s="81">
        <v>83.0</v>
      </c>
      <c r="C94" s="97" t="s">
        <v>299</v>
      </c>
      <c r="D94" s="6"/>
      <c r="F94" s="16" t="s">
        <v>156</v>
      </c>
      <c r="G94" s="16"/>
      <c r="H94" s="16"/>
      <c r="I94" s="44"/>
    </row>
    <row r="95" ht="15.75" customHeight="1">
      <c r="B95" s="81">
        <v>84.0</v>
      </c>
      <c r="C95" s="97" t="s">
        <v>300</v>
      </c>
      <c r="D95" s="6"/>
      <c r="F95" s="16" t="s">
        <v>156</v>
      </c>
      <c r="G95" s="16"/>
      <c r="H95" s="16"/>
      <c r="I95" s="44"/>
    </row>
    <row r="96" ht="15.75" customHeight="1">
      <c r="B96" s="81">
        <v>85.0</v>
      </c>
      <c r="C96" s="97" t="s">
        <v>301</v>
      </c>
      <c r="D96" s="6"/>
      <c r="F96" s="16" t="s">
        <v>156</v>
      </c>
      <c r="G96" s="16"/>
      <c r="H96" s="16"/>
      <c r="I96" s="44"/>
    </row>
    <row r="97" ht="15.75" customHeight="1">
      <c r="B97" s="81">
        <v>86.0</v>
      </c>
      <c r="C97" s="97" t="s">
        <v>302</v>
      </c>
      <c r="D97" s="6"/>
      <c r="E97" s="83"/>
      <c r="F97" s="16" t="s">
        <v>156</v>
      </c>
      <c r="G97" s="16"/>
      <c r="H97" s="16"/>
      <c r="I97" s="44"/>
    </row>
    <row r="98" ht="15.75" customHeight="1">
      <c r="B98" s="81">
        <v>87.0</v>
      </c>
      <c r="C98" s="97" t="s">
        <v>303</v>
      </c>
      <c r="D98" s="6"/>
      <c r="E98" s="83"/>
      <c r="F98" s="16" t="s">
        <v>156</v>
      </c>
      <c r="G98" s="16"/>
      <c r="H98" s="16"/>
      <c r="I98" s="44"/>
    </row>
    <row r="99" ht="15.75" customHeight="1">
      <c r="B99" s="81">
        <v>88.0</v>
      </c>
      <c r="C99" s="97" t="s">
        <v>304</v>
      </c>
      <c r="D99" s="6"/>
      <c r="E99" s="83"/>
      <c r="F99" s="16" t="s">
        <v>156</v>
      </c>
      <c r="G99" s="16"/>
      <c r="H99" s="16"/>
      <c r="I99" s="44"/>
    </row>
    <row r="100" ht="15.75" customHeight="1">
      <c r="B100" s="81">
        <v>89.0</v>
      </c>
      <c r="C100" s="97" t="s">
        <v>305</v>
      </c>
      <c r="D100" s="6"/>
      <c r="E100" s="83"/>
      <c r="F100" s="16" t="s">
        <v>156</v>
      </c>
      <c r="G100" s="16"/>
      <c r="H100" s="16"/>
      <c r="I100" s="44"/>
    </row>
    <row r="101" ht="15.75" customHeight="1">
      <c r="B101" s="81">
        <v>90.0</v>
      </c>
      <c r="C101" s="97" t="s">
        <v>306</v>
      </c>
      <c r="D101" s="6"/>
      <c r="E101" s="83"/>
      <c r="F101" s="16" t="s">
        <v>156</v>
      </c>
      <c r="G101" s="16"/>
      <c r="H101" s="16"/>
      <c r="I101" s="44"/>
    </row>
    <row r="102" ht="15.75" customHeight="1">
      <c r="B102" s="81">
        <v>91.0</v>
      </c>
      <c r="C102" s="97" t="s">
        <v>307</v>
      </c>
      <c r="D102" s="6"/>
      <c r="F102" s="16" t="s">
        <v>156</v>
      </c>
      <c r="G102" s="16"/>
      <c r="H102" s="16"/>
      <c r="I102" s="44"/>
    </row>
    <row r="103" ht="15.75" customHeight="1">
      <c r="B103" s="81">
        <v>92.0</v>
      </c>
      <c r="C103" s="97" t="s">
        <v>308</v>
      </c>
      <c r="D103" s="6"/>
      <c r="F103" s="16" t="s">
        <v>156</v>
      </c>
      <c r="G103" s="16"/>
      <c r="H103" s="16"/>
      <c r="I103" s="44"/>
    </row>
    <row r="104" ht="15.75" customHeight="1">
      <c r="B104" s="81">
        <v>93.0</v>
      </c>
      <c r="C104" s="97" t="s">
        <v>309</v>
      </c>
      <c r="D104" s="6"/>
      <c r="F104" s="16" t="s">
        <v>156</v>
      </c>
      <c r="G104" s="16"/>
      <c r="H104" s="16"/>
      <c r="I104" s="44"/>
    </row>
    <row r="105" ht="15.75" customHeight="1">
      <c r="B105" s="81">
        <v>94.0</v>
      </c>
      <c r="C105" s="97" t="s">
        <v>310</v>
      </c>
      <c r="D105" s="6"/>
      <c r="F105" s="16" t="s">
        <v>156</v>
      </c>
      <c r="G105" s="16"/>
      <c r="H105" s="16"/>
      <c r="I105" s="44"/>
    </row>
    <row r="106" ht="15.75" customHeight="1">
      <c r="B106" s="81">
        <v>95.0</v>
      </c>
      <c r="C106" s="97" t="s">
        <v>311</v>
      </c>
      <c r="D106" s="6"/>
      <c r="F106" s="16" t="s">
        <v>156</v>
      </c>
      <c r="G106" s="16"/>
      <c r="H106" s="16"/>
      <c r="I106" s="44"/>
    </row>
    <row r="107" ht="15.75" customHeight="1">
      <c r="B107" s="81">
        <v>96.0</v>
      </c>
      <c r="C107" s="97" t="s">
        <v>312</v>
      </c>
      <c r="D107" s="6"/>
      <c r="F107" s="16" t="s">
        <v>156</v>
      </c>
      <c r="G107" s="16"/>
      <c r="H107" s="16"/>
      <c r="I107" s="44"/>
    </row>
    <row r="108" ht="15.75" customHeight="1">
      <c r="B108" s="81">
        <v>97.0</v>
      </c>
      <c r="C108" s="97" t="s">
        <v>313</v>
      </c>
      <c r="D108" s="6"/>
      <c r="F108" s="16" t="s">
        <v>156</v>
      </c>
      <c r="G108" s="16"/>
      <c r="H108" s="16"/>
      <c r="I108" s="44"/>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7">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107:D107"/>
    <mergeCell ref="C108:D108"/>
    <mergeCell ref="C100:D100"/>
    <mergeCell ref="C101:D101"/>
    <mergeCell ref="C102:D102"/>
    <mergeCell ref="C103:D103"/>
    <mergeCell ref="C104:D104"/>
    <mergeCell ref="C105:D105"/>
    <mergeCell ref="C106:D106"/>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43"/>
    <col customWidth="1" min="3" max="3" width="84.71"/>
    <col customWidth="1" min="4" max="8" width="10.71"/>
    <col customWidth="1" min="9" max="9" width="15.86"/>
    <col customWidth="1" min="10" max="10" width="10.71"/>
    <col customWidth="1" min="11" max="11" width="14.71"/>
    <col customWidth="1" min="12" max="26" width="10.71"/>
  </cols>
  <sheetData>
    <row r="2">
      <c r="B2" s="52" t="s">
        <v>141</v>
      </c>
      <c r="C2" s="53"/>
      <c r="D2" s="53"/>
      <c r="E2" s="53"/>
      <c r="F2" s="53"/>
      <c r="G2" s="53"/>
      <c r="H2" s="53"/>
      <c r="I2" s="54"/>
      <c r="K2" s="55" t="s">
        <v>9</v>
      </c>
      <c r="L2" s="56"/>
    </row>
    <row r="3">
      <c r="B3" s="57"/>
      <c r="C3" s="57"/>
      <c r="D3" s="57"/>
      <c r="K3" s="44" t="s">
        <v>142</v>
      </c>
      <c r="L3" s="58">
        <f>COUNT(B12:D99)</f>
        <v>65</v>
      </c>
    </row>
    <row r="4">
      <c r="B4" s="59" t="s">
        <v>143</v>
      </c>
      <c r="C4" s="60" t="s">
        <v>144</v>
      </c>
      <c r="K4" s="44" t="s">
        <v>29</v>
      </c>
      <c r="L4" s="58">
        <f>COUNTIF(F12:F99,"X")</f>
        <v>1</v>
      </c>
    </row>
    <row r="5">
      <c r="B5" s="59" t="s">
        <v>145</v>
      </c>
      <c r="C5" s="60" t="s">
        <v>146</v>
      </c>
    </row>
    <row r="6">
      <c r="B6" s="59" t="s">
        <v>147</v>
      </c>
      <c r="C6" s="60" t="s">
        <v>148</v>
      </c>
      <c r="K6" s="44" t="s">
        <v>149</v>
      </c>
      <c r="L6" s="58">
        <f>L3/L4</f>
        <v>65</v>
      </c>
    </row>
    <row r="7">
      <c r="B7" s="63" t="s">
        <v>150</v>
      </c>
      <c r="D7" s="60" t="s">
        <v>151</v>
      </c>
    </row>
    <row r="9">
      <c r="F9" s="65" t="s">
        <v>152</v>
      </c>
      <c r="G9" s="66"/>
      <c r="H9" s="67"/>
      <c r="I9" s="68" t="s">
        <v>153</v>
      </c>
    </row>
    <row r="10">
      <c r="B10" s="69" t="s">
        <v>216</v>
      </c>
      <c r="C10" s="70"/>
      <c r="D10" s="56"/>
      <c r="E10" s="71"/>
      <c r="F10" s="72" t="s">
        <v>143</v>
      </c>
      <c r="G10" s="73" t="s">
        <v>145</v>
      </c>
      <c r="H10" s="73" t="s">
        <v>147</v>
      </c>
      <c r="I10" s="74"/>
      <c r="K10" s="96"/>
    </row>
    <row r="11">
      <c r="B11" s="76"/>
      <c r="C11" s="77"/>
      <c r="D11" s="78"/>
      <c r="I11" s="79"/>
    </row>
    <row r="12">
      <c r="B12" s="81">
        <v>1.0</v>
      </c>
      <c r="C12" s="97" t="s">
        <v>322</v>
      </c>
      <c r="D12" s="6"/>
      <c r="E12" s="83"/>
      <c r="F12" s="16" t="s">
        <v>323</v>
      </c>
      <c r="G12" s="16"/>
      <c r="H12" s="16"/>
      <c r="I12" s="44"/>
    </row>
    <row r="13">
      <c r="B13" s="81">
        <v>2.0</v>
      </c>
      <c r="C13" s="97" t="s">
        <v>324</v>
      </c>
      <c r="D13" s="6"/>
      <c r="E13" s="83"/>
      <c r="F13" s="16"/>
      <c r="G13" s="16"/>
      <c r="H13" s="16" t="s">
        <v>156</v>
      </c>
      <c r="I13" s="44"/>
    </row>
    <row r="14">
      <c r="B14" s="81">
        <v>3.0</v>
      </c>
      <c r="C14" s="97" t="s">
        <v>325</v>
      </c>
      <c r="D14" s="6"/>
      <c r="E14" s="83"/>
      <c r="F14" s="16"/>
      <c r="G14" s="16"/>
      <c r="H14" s="16" t="s">
        <v>156</v>
      </c>
      <c r="I14" s="44"/>
    </row>
    <row r="15">
      <c r="B15" s="81">
        <v>4.0</v>
      </c>
      <c r="C15" s="97" t="s">
        <v>326</v>
      </c>
      <c r="D15" s="6"/>
      <c r="E15" s="83"/>
      <c r="F15" s="16"/>
      <c r="G15" s="16"/>
      <c r="H15" s="16" t="s">
        <v>156</v>
      </c>
      <c r="I15" s="44"/>
    </row>
    <row r="16">
      <c r="B16" s="81">
        <v>5.0</v>
      </c>
      <c r="C16" s="97" t="s">
        <v>327</v>
      </c>
      <c r="D16" s="6"/>
      <c r="E16" s="83"/>
      <c r="F16" s="16"/>
      <c r="G16" s="16"/>
      <c r="H16" s="16" t="s">
        <v>156</v>
      </c>
      <c r="I16" s="44"/>
    </row>
    <row r="17">
      <c r="B17" s="81">
        <v>6.0</v>
      </c>
      <c r="C17" s="97" t="s">
        <v>328</v>
      </c>
      <c r="D17" s="6"/>
      <c r="F17" s="16"/>
      <c r="G17" s="16"/>
      <c r="H17" s="16" t="s">
        <v>156</v>
      </c>
      <c r="I17" s="44"/>
    </row>
    <row r="18">
      <c r="B18" s="81">
        <v>7.0</v>
      </c>
      <c r="C18" s="97" t="s">
        <v>329</v>
      </c>
      <c r="D18" s="6"/>
      <c r="F18" s="16"/>
      <c r="G18" s="16"/>
      <c r="H18" s="16" t="s">
        <v>156</v>
      </c>
      <c r="I18" s="44"/>
    </row>
    <row r="19">
      <c r="B19" s="81">
        <v>8.0</v>
      </c>
      <c r="C19" s="97" t="s">
        <v>330</v>
      </c>
      <c r="D19" s="6"/>
      <c r="F19" s="16"/>
      <c r="G19" s="16"/>
      <c r="H19" s="16" t="s">
        <v>156</v>
      </c>
      <c r="I19" s="44"/>
    </row>
    <row r="20">
      <c r="B20" s="81">
        <v>9.0</v>
      </c>
      <c r="C20" s="97" t="s">
        <v>331</v>
      </c>
      <c r="D20" s="6"/>
      <c r="F20" s="16"/>
      <c r="G20" s="16"/>
      <c r="H20" s="16" t="s">
        <v>156</v>
      </c>
      <c r="I20" s="44"/>
    </row>
    <row r="21" ht="15.75" customHeight="1">
      <c r="B21" s="81">
        <v>10.0</v>
      </c>
      <c r="C21" s="97" t="s">
        <v>332</v>
      </c>
      <c r="D21" s="6"/>
      <c r="F21" s="16"/>
      <c r="G21" s="16"/>
      <c r="H21" s="16" t="s">
        <v>156</v>
      </c>
      <c r="I21" s="44"/>
    </row>
    <row r="22" ht="15.75" customHeight="1">
      <c r="B22" s="81">
        <v>11.0</v>
      </c>
      <c r="C22" s="97" t="s">
        <v>333</v>
      </c>
      <c r="D22" s="6"/>
      <c r="F22" s="16"/>
      <c r="G22" s="16"/>
      <c r="H22" s="16" t="s">
        <v>156</v>
      </c>
      <c r="I22" s="44"/>
    </row>
    <row r="23" ht="15.75" customHeight="1">
      <c r="B23" s="81">
        <v>12.0</v>
      </c>
      <c r="C23" s="97" t="s">
        <v>334</v>
      </c>
      <c r="D23" s="6"/>
      <c r="F23" s="16"/>
      <c r="G23" s="16"/>
      <c r="H23" s="16" t="s">
        <v>156</v>
      </c>
      <c r="I23" s="44"/>
    </row>
    <row r="24" ht="15.75" customHeight="1">
      <c r="B24" s="81">
        <v>13.0</v>
      </c>
      <c r="C24" s="97" t="s">
        <v>335</v>
      </c>
      <c r="D24" s="6"/>
      <c r="F24" s="16"/>
      <c r="G24" s="16"/>
      <c r="H24" s="16" t="s">
        <v>156</v>
      </c>
      <c r="I24" s="44"/>
    </row>
    <row r="25" ht="15.75" customHeight="1">
      <c r="B25" s="81">
        <v>14.0</v>
      </c>
      <c r="C25" s="97" t="s">
        <v>336</v>
      </c>
      <c r="D25" s="6"/>
      <c r="F25" s="16"/>
      <c r="G25" s="16"/>
      <c r="H25" s="16" t="s">
        <v>156</v>
      </c>
      <c r="I25" s="44"/>
    </row>
    <row r="26" ht="15.75" customHeight="1">
      <c r="B26" s="81">
        <v>15.0</v>
      </c>
      <c r="C26" s="97" t="s">
        <v>337</v>
      </c>
      <c r="D26" s="6"/>
      <c r="F26" s="16"/>
      <c r="G26" s="16"/>
      <c r="H26" s="16" t="s">
        <v>156</v>
      </c>
      <c r="I26" s="44"/>
    </row>
    <row r="27" ht="15.75" customHeight="1">
      <c r="B27" s="81">
        <v>16.0</v>
      </c>
      <c r="C27" s="97" t="s">
        <v>338</v>
      </c>
      <c r="D27" s="6"/>
      <c r="F27" s="16"/>
      <c r="G27" s="16"/>
      <c r="H27" s="16" t="s">
        <v>156</v>
      </c>
      <c r="I27" s="44"/>
    </row>
    <row r="28" ht="15.75" customHeight="1">
      <c r="B28" s="81">
        <v>17.0</v>
      </c>
      <c r="C28" s="97" t="s">
        <v>339</v>
      </c>
      <c r="D28" s="6"/>
      <c r="F28" s="16"/>
      <c r="G28" s="16"/>
      <c r="H28" s="16" t="s">
        <v>156</v>
      </c>
      <c r="I28" s="44"/>
    </row>
    <row r="29" ht="15.75" customHeight="1">
      <c r="B29" s="81">
        <v>18.0</v>
      </c>
      <c r="C29" s="97" t="s">
        <v>340</v>
      </c>
      <c r="D29" s="6"/>
      <c r="F29" s="16"/>
      <c r="G29" s="16"/>
      <c r="H29" s="16" t="s">
        <v>156</v>
      </c>
      <c r="I29" s="44"/>
    </row>
    <row r="30" ht="15.75" customHeight="1">
      <c r="B30" s="81">
        <v>19.0</v>
      </c>
      <c r="C30" s="97" t="s">
        <v>341</v>
      </c>
      <c r="D30" s="6"/>
      <c r="F30" s="16"/>
      <c r="G30" s="16"/>
      <c r="H30" s="16" t="s">
        <v>156</v>
      </c>
      <c r="I30" s="44"/>
    </row>
    <row r="31" ht="15.75" customHeight="1">
      <c r="B31" s="81">
        <v>20.0</v>
      </c>
      <c r="C31" s="97" t="s">
        <v>342</v>
      </c>
      <c r="D31" s="6"/>
      <c r="F31" s="16"/>
      <c r="G31" s="16"/>
      <c r="H31" s="16" t="s">
        <v>156</v>
      </c>
      <c r="I31" s="44"/>
    </row>
    <row r="32" ht="15.75" customHeight="1">
      <c r="B32" s="81">
        <v>21.0</v>
      </c>
      <c r="C32" s="97" t="s">
        <v>343</v>
      </c>
      <c r="D32" s="6"/>
      <c r="F32" s="16"/>
      <c r="G32" s="16"/>
      <c r="H32" s="16" t="s">
        <v>156</v>
      </c>
      <c r="I32" s="44"/>
    </row>
    <row r="33" ht="15.75" customHeight="1">
      <c r="B33" s="81">
        <v>22.0</v>
      </c>
      <c r="C33" s="97" t="s">
        <v>344</v>
      </c>
      <c r="D33" s="6"/>
      <c r="F33" s="16"/>
      <c r="G33" s="16"/>
      <c r="H33" s="16" t="s">
        <v>156</v>
      </c>
      <c r="I33" s="44"/>
    </row>
    <row r="34" ht="15.75" customHeight="1">
      <c r="B34" s="81">
        <v>23.0</v>
      </c>
      <c r="C34" s="97" t="s">
        <v>345</v>
      </c>
      <c r="D34" s="6"/>
      <c r="F34" s="16"/>
      <c r="G34" s="16"/>
      <c r="H34" s="16" t="s">
        <v>156</v>
      </c>
      <c r="I34" s="44"/>
    </row>
    <row r="35" ht="15.75" customHeight="1">
      <c r="B35" s="81">
        <v>24.0</v>
      </c>
      <c r="C35" s="97" t="s">
        <v>346</v>
      </c>
      <c r="D35" s="6"/>
      <c r="F35" s="16"/>
      <c r="G35" s="16"/>
      <c r="H35" s="16" t="s">
        <v>156</v>
      </c>
      <c r="I35" s="44"/>
    </row>
    <row r="36" ht="15.75" customHeight="1">
      <c r="B36" s="81">
        <v>25.0</v>
      </c>
      <c r="C36" s="97" t="s">
        <v>347</v>
      </c>
      <c r="D36" s="6"/>
      <c r="F36" s="16"/>
      <c r="G36" s="16"/>
      <c r="H36" s="16" t="s">
        <v>156</v>
      </c>
      <c r="I36" s="44"/>
    </row>
    <row r="37" ht="15.75" customHeight="1">
      <c r="B37" s="81">
        <v>26.0</v>
      </c>
      <c r="C37" s="97" t="s">
        <v>348</v>
      </c>
      <c r="D37" s="6"/>
      <c r="F37" s="16"/>
      <c r="G37" s="16"/>
      <c r="H37" s="16" t="s">
        <v>156</v>
      </c>
      <c r="I37" s="44"/>
    </row>
    <row r="38" ht="15.75" customHeight="1">
      <c r="B38" s="81">
        <v>27.0</v>
      </c>
      <c r="C38" s="97" t="s">
        <v>349</v>
      </c>
      <c r="D38" s="6"/>
      <c r="F38" s="16"/>
      <c r="G38" s="16"/>
      <c r="H38" s="16" t="s">
        <v>156</v>
      </c>
      <c r="I38" s="44"/>
    </row>
    <row r="39" ht="15.75" customHeight="1">
      <c r="B39" s="81">
        <v>28.0</v>
      </c>
      <c r="C39" s="97" t="s">
        <v>350</v>
      </c>
      <c r="D39" s="6"/>
      <c r="F39" s="16"/>
      <c r="G39" s="16"/>
      <c r="H39" s="16" t="s">
        <v>156</v>
      </c>
      <c r="I39" s="44"/>
    </row>
    <row r="40" ht="15.75" customHeight="1">
      <c r="B40" s="81">
        <v>29.0</v>
      </c>
      <c r="C40" s="97" t="s">
        <v>351</v>
      </c>
      <c r="D40" s="6"/>
      <c r="F40" s="16"/>
      <c r="G40" s="16"/>
      <c r="H40" s="16" t="s">
        <v>156</v>
      </c>
      <c r="I40" s="44"/>
    </row>
    <row r="41" ht="15.75" customHeight="1">
      <c r="B41" s="81">
        <v>30.0</v>
      </c>
      <c r="C41" s="97" t="s">
        <v>352</v>
      </c>
      <c r="D41" s="6"/>
      <c r="F41" s="16"/>
      <c r="G41" s="16"/>
      <c r="H41" s="16" t="s">
        <v>156</v>
      </c>
      <c r="I41" s="44"/>
    </row>
    <row r="42" ht="15.75" customHeight="1">
      <c r="B42" s="81">
        <v>31.0</v>
      </c>
      <c r="C42" s="97" t="s">
        <v>353</v>
      </c>
      <c r="D42" s="6"/>
      <c r="F42" s="16"/>
      <c r="G42" s="16"/>
      <c r="H42" s="16" t="s">
        <v>156</v>
      </c>
      <c r="I42" s="44"/>
    </row>
    <row r="43" ht="15.75" customHeight="1">
      <c r="B43" s="81">
        <v>32.0</v>
      </c>
      <c r="C43" s="97" t="s">
        <v>354</v>
      </c>
      <c r="D43" s="6"/>
      <c r="F43" s="16"/>
      <c r="G43" s="16"/>
      <c r="H43" s="16" t="s">
        <v>156</v>
      </c>
      <c r="I43" s="44"/>
    </row>
    <row r="44" ht="15.75" customHeight="1">
      <c r="B44" s="81">
        <v>33.0</v>
      </c>
      <c r="C44" s="97" t="s">
        <v>355</v>
      </c>
      <c r="D44" s="6"/>
      <c r="F44" s="16"/>
      <c r="G44" s="16"/>
      <c r="H44" s="16" t="s">
        <v>156</v>
      </c>
      <c r="I44" s="44"/>
    </row>
    <row r="45" ht="15.75" customHeight="1">
      <c r="B45" s="81">
        <v>34.0</v>
      </c>
      <c r="C45" s="97" t="s">
        <v>356</v>
      </c>
      <c r="D45" s="6"/>
      <c r="F45" s="16"/>
      <c r="G45" s="16"/>
      <c r="H45" s="16" t="s">
        <v>156</v>
      </c>
      <c r="I45" s="44"/>
    </row>
    <row r="46" ht="15.75" customHeight="1">
      <c r="B46" s="81">
        <v>35.0</v>
      </c>
      <c r="C46" s="97" t="s">
        <v>357</v>
      </c>
      <c r="D46" s="6"/>
      <c r="F46" s="16"/>
      <c r="G46" s="16"/>
      <c r="H46" s="16" t="s">
        <v>156</v>
      </c>
      <c r="I46" s="44"/>
    </row>
    <row r="47" ht="15.75" customHeight="1">
      <c r="B47" s="81">
        <v>36.0</v>
      </c>
      <c r="C47" s="97" t="s">
        <v>358</v>
      </c>
      <c r="D47" s="6"/>
      <c r="F47" s="16"/>
      <c r="G47" s="16"/>
      <c r="H47" s="16" t="s">
        <v>156</v>
      </c>
      <c r="I47" s="44"/>
    </row>
    <row r="48" ht="15.75" customHeight="1">
      <c r="B48" s="81">
        <v>37.0</v>
      </c>
      <c r="C48" s="97" t="s">
        <v>359</v>
      </c>
      <c r="D48" s="6"/>
      <c r="F48" s="16"/>
      <c r="G48" s="16"/>
      <c r="H48" s="16" t="s">
        <v>156</v>
      </c>
      <c r="I48" s="44"/>
    </row>
    <row r="49" ht="15.75" customHeight="1">
      <c r="B49" s="81">
        <v>38.0</v>
      </c>
      <c r="C49" s="97" t="s">
        <v>360</v>
      </c>
      <c r="D49" s="6"/>
      <c r="F49" s="16"/>
      <c r="G49" s="16"/>
      <c r="H49" s="16" t="s">
        <v>156</v>
      </c>
      <c r="I49" s="44"/>
    </row>
    <row r="50" ht="15.75" customHeight="1">
      <c r="B50" s="81">
        <v>39.0</v>
      </c>
      <c r="C50" s="97" t="s">
        <v>361</v>
      </c>
      <c r="D50" s="6"/>
      <c r="F50" s="16"/>
      <c r="G50" s="16"/>
      <c r="H50" s="16" t="s">
        <v>156</v>
      </c>
      <c r="I50" s="44"/>
    </row>
    <row r="51" ht="15.75" customHeight="1">
      <c r="B51" s="81">
        <v>40.0</v>
      </c>
      <c r="C51" s="97" t="s">
        <v>362</v>
      </c>
      <c r="D51" s="6"/>
      <c r="F51" s="16"/>
      <c r="G51" s="16"/>
      <c r="H51" s="16" t="s">
        <v>156</v>
      </c>
      <c r="I51" s="44"/>
    </row>
    <row r="52" ht="15.75" customHeight="1">
      <c r="B52" s="81">
        <v>41.0</v>
      </c>
      <c r="C52" s="97" t="s">
        <v>363</v>
      </c>
      <c r="D52" s="6"/>
      <c r="F52" s="16"/>
      <c r="G52" s="16"/>
      <c r="H52" s="16" t="s">
        <v>156</v>
      </c>
      <c r="I52" s="44"/>
    </row>
    <row r="53" ht="15.75" customHeight="1">
      <c r="B53" s="81">
        <v>42.0</v>
      </c>
      <c r="C53" s="97" t="s">
        <v>364</v>
      </c>
      <c r="D53" s="6"/>
      <c r="F53" s="16"/>
      <c r="G53" s="16"/>
      <c r="H53" s="16" t="s">
        <v>156</v>
      </c>
      <c r="I53" s="44"/>
    </row>
    <row r="54" ht="15.75" customHeight="1">
      <c r="B54" s="81">
        <v>43.0</v>
      </c>
      <c r="C54" s="97" t="s">
        <v>365</v>
      </c>
      <c r="D54" s="6"/>
      <c r="F54" s="16"/>
      <c r="G54" s="16"/>
      <c r="H54" s="16" t="s">
        <v>156</v>
      </c>
      <c r="I54" s="44"/>
    </row>
    <row r="55" ht="15.75" customHeight="1">
      <c r="B55" s="81">
        <v>44.0</v>
      </c>
      <c r="C55" s="97" t="s">
        <v>366</v>
      </c>
      <c r="D55" s="6"/>
      <c r="F55" s="16"/>
      <c r="G55" s="16"/>
      <c r="H55" s="16" t="s">
        <v>156</v>
      </c>
      <c r="I55" s="44"/>
    </row>
    <row r="56" ht="15.75" customHeight="1">
      <c r="B56" s="81">
        <v>45.0</v>
      </c>
      <c r="C56" s="97" t="s">
        <v>367</v>
      </c>
      <c r="D56" s="6"/>
      <c r="F56" s="16"/>
      <c r="G56" s="16"/>
      <c r="H56" s="16" t="s">
        <v>156</v>
      </c>
      <c r="I56" s="44"/>
    </row>
    <row r="57" ht="15.75" customHeight="1">
      <c r="B57" s="81">
        <v>46.0</v>
      </c>
      <c r="C57" s="97" t="s">
        <v>368</v>
      </c>
      <c r="D57" s="6"/>
      <c r="F57" s="16"/>
      <c r="G57" s="16"/>
      <c r="H57" s="16" t="s">
        <v>156</v>
      </c>
      <c r="I57" s="44"/>
    </row>
    <row r="58" ht="15.75" customHeight="1">
      <c r="B58" s="81">
        <v>47.0</v>
      </c>
      <c r="C58" s="97" t="s">
        <v>369</v>
      </c>
      <c r="D58" s="6"/>
      <c r="F58" s="16"/>
      <c r="G58" s="16"/>
      <c r="H58" s="16" t="s">
        <v>156</v>
      </c>
      <c r="I58" s="44"/>
    </row>
    <row r="59" ht="15.75" customHeight="1">
      <c r="B59" s="81">
        <v>48.0</v>
      </c>
      <c r="C59" s="97" t="s">
        <v>370</v>
      </c>
      <c r="D59" s="6"/>
      <c r="F59" s="16"/>
      <c r="G59" s="16"/>
      <c r="H59" s="16" t="s">
        <v>156</v>
      </c>
      <c r="I59" s="44"/>
    </row>
    <row r="60" ht="15.75" customHeight="1">
      <c r="B60" s="81">
        <v>49.0</v>
      </c>
      <c r="C60" s="97" t="s">
        <v>371</v>
      </c>
      <c r="D60" s="6"/>
      <c r="F60" s="16"/>
      <c r="G60" s="16"/>
      <c r="H60" s="16" t="s">
        <v>156</v>
      </c>
      <c r="I60" s="44"/>
    </row>
    <row r="61" ht="15.75" customHeight="1">
      <c r="B61" s="81">
        <v>50.0</v>
      </c>
      <c r="C61" s="97" t="s">
        <v>372</v>
      </c>
      <c r="D61" s="6"/>
      <c r="F61" s="16"/>
      <c r="G61" s="16"/>
      <c r="H61" s="16" t="s">
        <v>156</v>
      </c>
      <c r="I61" s="44"/>
    </row>
    <row r="62" ht="15.75" customHeight="1">
      <c r="B62" s="81">
        <v>51.0</v>
      </c>
      <c r="C62" s="97" t="s">
        <v>373</v>
      </c>
      <c r="D62" s="6"/>
      <c r="F62" s="16"/>
      <c r="G62" s="16"/>
      <c r="H62" s="16" t="s">
        <v>156</v>
      </c>
      <c r="I62" s="44"/>
    </row>
    <row r="63" ht="15.75" customHeight="1">
      <c r="B63" s="81">
        <v>52.0</v>
      </c>
      <c r="C63" s="97" t="s">
        <v>374</v>
      </c>
      <c r="D63" s="6"/>
      <c r="F63" s="16"/>
      <c r="G63" s="16"/>
      <c r="H63" s="16" t="s">
        <v>156</v>
      </c>
      <c r="I63" s="44"/>
    </row>
    <row r="64" ht="15.75" customHeight="1">
      <c r="B64" s="81">
        <v>53.0</v>
      </c>
      <c r="C64" s="97" t="s">
        <v>375</v>
      </c>
      <c r="D64" s="6"/>
      <c r="F64" s="16"/>
      <c r="G64" s="16"/>
      <c r="H64" s="16" t="s">
        <v>156</v>
      </c>
      <c r="I64" s="44"/>
    </row>
    <row r="65" ht="15.75" customHeight="1">
      <c r="B65" s="81">
        <v>54.0</v>
      </c>
      <c r="C65" s="97" t="s">
        <v>376</v>
      </c>
      <c r="D65" s="6"/>
      <c r="F65" s="16"/>
      <c r="G65" s="16"/>
      <c r="H65" s="16" t="s">
        <v>156</v>
      </c>
      <c r="I65" s="44"/>
    </row>
    <row r="66" ht="15.75" customHeight="1">
      <c r="B66" s="81">
        <v>55.0</v>
      </c>
      <c r="C66" s="97" t="s">
        <v>377</v>
      </c>
      <c r="D66" s="6"/>
      <c r="F66" s="16"/>
      <c r="G66" s="16"/>
      <c r="H66" s="16" t="s">
        <v>156</v>
      </c>
      <c r="I66" s="44"/>
    </row>
    <row r="67" ht="15.75" customHeight="1">
      <c r="B67" s="81">
        <v>56.0</v>
      </c>
      <c r="C67" s="97" t="s">
        <v>378</v>
      </c>
      <c r="D67" s="6"/>
      <c r="F67" s="16"/>
      <c r="G67" s="16"/>
      <c r="H67" s="16" t="s">
        <v>156</v>
      </c>
      <c r="I67" s="44"/>
    </row>
    <row r="68" ht="15.75" customHeight="1">
      <c r="B68" s="81">
        <v>57.0</v>
      </c>
      <c r="C68" s="97" t="s">
        <v>379</v>
      </c>
      <c r="D68" s="6"/>
      <c r="F68" s="16"/>
      <c r="G68" s="16"/>
      <c r="H68" s="16" t="s">
        <v>156</v>
      </c>
      <c r="I68" s="44"/>
    </row>
    <row r="69" ht="15.75" customHeight="1">
      <c r="B69" s="81">
        <v>58.0</v>
      </c>
      <c r="C69" s="97" t="s">
        <v>380</v>
      </c>
      <c r="D69" s="6"/>
      <c r="F69" s="16"/>
      <c r="G69" s="16"/>
      <c r="H69" s="16" t="s">
        <v>156</v>
      </c>
      <c r="I69" s="44"/>
    </row>
    <row r="70" ht="15.75" customHeight="1">
      <c r="B70" s="81">
        <v>59.0</v>
      </c>
      <c r="C70" s="97" t="s">
        <v>381</v>
      </c>
      <c r="D70" s="6"/>
      <c r="F70" s="16"/>
      <c r="G70" s="16"/>
      <c r="H70" s="16" t="s">
        <v>156</v>
      </c>
      <c r="I70" s="44"/>
    </row>
    <row r="71" ht="15.75" customHeight="1">
      <c r="B71" s="81">
        <v>60.0</v>
      </c>
      <c r="C71" s="97" t="s">
        <v>382</v>
      </c>
      <c r="D71" s="6"/>
      <c r="F71" s="16"/>
      <c r="G71" s="16"/>
      <c r="H71" s="16" t="s">
        <v>156</v>
      </c>
      <c r="I71" s="44"/>
    </row>
    <row r="72" ht="15.75" customHeight="1">
      <c r="B72" s="81">
        <v>61.0</v>
      </c>
      <c r="C72" s="97" t="s">
        <v>383</v>
      </c>
      <c r="D72" s="6"/>
      <c r="F72" s="16"/>
      <c r="G72" s="16"/>
      <c r="H72" s="16" t="s">
        <v>156</v>
      </c>
      <c r="I72" s="44"/>
    </row>
    <row r="73" ht="15.75" customHeight="1">
      <c r="B73" s="81">
        <v>62.0</v>
      </c>
      <c r="C73" s="97" t="s">
        <v>384</v>
      </c>
      <c r="D73" s="6"/>
      <c r="F73" s="16"/>
      <c r="G73" s="16"/>
      <c r="H73" s="16" t="s">
        <v>156</v>
      </c>
      <c r="I73" s="44"/>
    </row>
    <row r="74" ht="15.75" customHeight="1">
      <c r="B74" s="81">
        <v>63.0</v>
      </c>
      <c r="C74" s="97" t="s">
        <v>385</v>
      </c>
      <c r="D74" s="6"/>
      <c r="F74" s="16"/>
      <c r="G74" s="16"/>
      <c r="H74" s="16" t="s">
        <v>156</v>
      </c>
      <c r="I74" s="44"/>
    </row>
    <row r="75" ht="15.75" customHeight="1">
      <c r="B75" s="81">
        <v>64.0</v>
      </c>
      <c r="C75" s="97" t="s">
        <v>386</v>
      </c>
      <c r="D75" s="6"/>
      <c r="F75" s="16"/>
      <c r="G75" s="16"/>
      <c r="H75" s="16" t="s">
        <v>156</v>
      </c>
      <c r="I75" s="44"/>
    </row>
    <row r="76" ht="15.75" customHeight="1">
      <c r="B76" s="81">
        <v>65.0</v>
      </c>
      <c r="C76" s="97" t="s">
        <v>387</v>
      </c>
      <c r="D76" s="6"/>
      <c r="F76" s="16"/>
      <c r="G76" s="16"/>
      <c r="H76" s="16" t="s">
        <v>156</v>
      </c>
      <c r="I76" s="44"/>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72:D72"/>
    <mergeCell ref="C73:D73"/>
    <mergeCell ref="C74:D74"/>
    <mergeCell ref="C75:D75"/>
    <mergeCell ref="C76:D76"/>
    <mergeCell ref="C65:D65"/>
    <mergeCell ref="C66:D66"/>
    <mergeCell ref="C67:D67"/>
    <mergeCell ref="C68:D68"/>
    <mergeCell ref="C69:D69"/>
    <mergeCell ref="C70:D70"/>
    <mergeCell ref="C71:D71"/>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2.86"/>
    <col customWidth="1" min="2" max="2" width="4.14"/>
    <col customWidth="1" min="4" max="4" width="121.57"/>
    <col customWidth="1" min="5" max="5" width="4.29"/>
    <col customWidth="1" min="6" max="8" width="7.14"/>
    <col customWidth="1" min="9" max="9" width="85.71"/>
    <col customWidth="1" min="10" max="10" width="11.43"/>
    <col customWidth="1" min="11" max="11" width="14.14"/>
    <col customWidth="1" min="12" max="12" width="11.43"/>
  </cols>
  <sheetData>
    <row r="2" ht="21.75" customHeight="1">
      <c r="B2" s="52" t="s">
        <v>141</v>
      </c>
      <c r="C2" s="53"/>
      <c r="D2" s="53"/>
      <c r="E2" s="53"/>
      <c r="F2" s="53"/>
      <c r="G2" s="53"/>
      <c r="H2" s="53"/>
      <c r="I2" s="54"/>
      <c r="K2" s="99" t="s">
        <v>9</v>
      </c>
      <c r="L2" s="56"/>
    </row>
    <row r="3" ht="15.0" customHeight="1">
      <c r="B3" s="57"/>
      <c r="C3" s="57"/>
      <c r="D3" s="57"/>
      <c r="K3" s="44" t="s">
        <v>142</v>
      </c>
      <c r="L3" s="58">
        <f>COUNT(B12:D99)</f>
        <v>83</v>
      </c>
    </row>
    <row r="4">
      <c r="B4" s="59" t="s">
        <v>143</v>
      </c>
      <c r="C4" s="60" t="s">
        <v>144</v>
      </c>
      <c r="K4" s="44" t="s">
        <v>29</v>
      </c>
      <c r="L4" s="58">
        <f>COUNTIF(F12:F99,"X")</f>
        <v>8</v>
      </c>
    </row>
    <row r="5">
      <c r="B5" s="59" t="s">
        <v>145</v>
      </c>
      <c r="C5" s="60" t="s">
        <v>146</v>
      </c>
    </row>
    <row r="6">
      <c r="B6" s="59" t="s">
        <v>147</v>
      </c>
      <c r="C6" s="60" t="s">
        <v>148</v>
      </c>
      <c r="K6" s="44" t="s">
        <v>149</v>
      </c>
      <c r="L6" s="58">
        <f>L3/L4</f>
        <v>10.375</v>
      </c>
    </row>
    <row r="7">
      <c r="B7" s="63" t="s">
        <v>150</v>
      </c>
      <c r="D7" s="60" t="s">
        <v>151</v>
      </c>
    </row>
    <row r="8">
      <c r="B8" s="64"/>
      <c r="C8" s="64"/>
      <c r="D8" s="60"/>
    </row>
    <row r="9">
      <c r="F9" s="65" t="s">
        <v>152</v>
      </c>
      <c r="G9" s="66"/>
      <c r="H9" s="67"/>
      <c r="I9" s="68" t="s">
        <v>153</v>
      </c>
    </row>
    <row r="10" ht="20.25" customHeight="1">
      <c r="B10" s="99" t="s">
        <v>388</v>
      </c>
      <c r="C10" s="70"/>
      <c r="D10" s="56"/>
      <c r="E10" s="71"/>
      <c r="F10" s="72" t="s">
        <v>143</v>
      </c>
      <c r="G10" s="73" t="s">
        <v>145</v>
      </c>
      <c r="H10" s="73" t="s">
        <v>147</v>
      </c>
      <c r="I10" s="74"/>
      <c r="J10" s="75"/>
    </row>
    <row r="11" ht="11.25" customHeight="1">
      <c r="B11" s="76"/>
      <c r="C11" s="77"/>
      <c r="D11" s="78"/>
      <c r="I11" s="79"/>
    </row>
    <row r="12">
      <c r="A12" s="61"/>
      <c r="B12" s="100">
        <v>1.0</v>
      </c>
      <c r="C12" s="101" t="s">
        <v>389</v>
      </c>
      <c r="D12" s="6"/>
      <c r="E12" s="83"/>
      <c r="F12" s="16" t="s">
        <v>323</v>
      </c>
      <c r="G12" s="16"/>
      <c r="H12" s="16"/>
      <c r="I12" s="44"/>
    </row>
    <row r="13">
      <c r="A13" s="61"/>
      <c r="B13" s="100">
        <v>2.0</v>
      </c>
      <c r="C13" s="102" t="s">
        <v>390</v>
      </c>
      <c r="D13" s="6"/>
      <c r="E13" s="83"/>
      <c r="F13" s="16"/>
      <c r="G13" s="16"/>
      <c r="H13" s="16" t="s">
        <v>156</v>
      </c>
      <c r="I13" s="44"/>
    </row>
    <row r="14">
      <c r="A14" s="61"/>
      <c r="B14" s="100">
        <v>3.0</v>
      </c>
      <c r="C14" s="101" t="s">
        <v>391</v>
      </c>
      <c r="D14" s="6"/>
      <c r="E14" s="83"/>
      <c r="F14" s="16"/>
      <c r="G14" s="16"/>
      <c r="H14" s="16" t="s">
        <v>156</v>
      </c>
      <c r="I14" s="44"/>
    </row>
    <row r="15">
      <c r="A15" s="61"/>
      <c r="B15" s="100">
        <v>4.0</v>
      </c>
      <c r="C15" s="101" t="s">
        <v>392</v>
      </c>
      <c r="D15" s="6"/>
      <c r="E15" s="83"/>
      <c r="F15" s="16"/>
      <c r="G15" s="16"/>
      <c r="H15" s="16" t="s">
        <v>156</v>
      </c>
      <c r="I15" s="44"/>
    </row>
    <row r="16">
      <c r="A16" s="61"/>
      <c r="B16" s="100">
        <v>5.0</v>
      </c>
      <c r="C16" s="102" t="s">
        <v>393</v>
      </c>
      <c r="D16" s="6"/>
      <c r="E16" s="83"/>
      <c r="F16" s="16"/>
      <c r="G16" s="16"/>
      <c r="H16" s="16" t="s">
        <v>156</v>
      </c>
      <c r="I16" s="44"/>
    </row>
    <row r="17">
      <c r="A17" s="61"/>
      <c r="B17" s="100">
        <v>6.0</v>
      </c>
      <c r="C17" s="101" t="s">
        <v>394</v>
      </c>
      <c r="D17" s="6"/>
      <c r="F17" s="16"/>
      <c r="G17" s="16"/>
      <c r="H17" s="16" t="s">
        <v>156</v>
      </c>
      <c r="I17" s="44"/>
    </row>
    <row r="18">
      <c r="A18" s="61"/>
      <c r="B18" s="100">
        <v>7.0</v>
      </c>
      <c r="C18" s="101" t="s">
        <v>395</v>
      </c>
      <c r="D18" s="6"/>
      <c r="F18" s="16"/>
      <c r="G18" s="16"/>
      <c r="H18" s="16" t="s">
        <v>156</v>
      </c>
      <c r="I18" s="44"/>
    </row>
    <row r="19">
      <c r="A19" s="61"/>
      <c r="B19" s="100">
        <v>8.0</v>
      </c>
      <c r="C19" s="101" t="s">
        <v>396</v>
      </c>
      <c r="D19" s="6"/>
      <c r="F19" s="16"/>
      <c r="G19" s="16"/>
      <c r="H19" s="16" t="s">
        <v>156</v>
      </c>
      <c r="I19" s="44"/>
    </row>
    <row r="20">
      <c r="A20" s="61"/>
      <c r="B20" s="100">
        <v>9.0</v>
      </c>
      <c r="C20" s="101" t="s">
        <v>397</v>
      </c>
      <c r="D20" s="6"/>
      <c r="F20" s="16"/>
      <c r="G20" s="16"/>
      <c r="H20" s="16" t="s">
        <v>156</v>
      </c>
      <c r="I20" s="44"/>
    </row>
    <row r="21" ht="18.75" customHeight="1">
      <c r="A21" s="61"/>
      <c r="B21" s="100">
        <v>10.0</v>
      </c>
      <c r="C21" s="101" t="s">
        <v>398</v>
      </c>
      <c r="D21" s="6"/>
      <c r="F21" s="16"/>
      <c r="G21" s="16"/>
      <c r="H21" s="16" t="s">
        <v>156</v>
      </c>
      <c r="I21" s="44"/>
    </row>
    <row r="22" ht="18.75" customHeight="1">
      <c r="A22" s="61"/>
      <c r="B22" s="100">
        <v>11.0</v>
      </c>
      <c r="C22" s="101" t="s">
        <v>399</v>
      </c>
      <c r="D22" s="6"/>
      <c r="F22" s="16"/>
      <c r="G22" s="16"/>
      <c r="H22" s="16" t="s">
        <v>156</v>
      </c>
      <c r="I22" s="44"/>
    </row>
    <row r="23" ht="18.75" customHeight="1">
      <c r="A23" s="61"/>
      <c r="B23" s="100">
        <v>12.0</v>
      </c>
      <c r="C23" s="101" t="s">
        <v>400</v>
      </c>
      <c r="D23" s="6"/>
      <c r="F23" s="16"/>
      <c r="G23" s="16"/>
      <c r="H23" s="16" t="s">
        <v>156</v>
      </c>
      <c r="I23" s="44"/>
    </row>
    <row r="24" ht="18.75" customHeight="1">
      <c r="A24" s="61"/>
      <c r="B24" s="100">
        <v>13.0</v>
      </c>
      <c r="C24" s="103" t="s">
        <v>401</v>
      </c>
      <c r="D24" s="6"/>
      <c r="F24" s="16"/>
      <c r="G24" s="16"/>
      <c r="H24" s="16" t="s">
        <v>156</v>
      </c>
      <c r="I24" s="44"/>
    </row>
    <row r="25" ht="18.75" customHeight="1">
      <c r="A25" s="61"/>
      <c r="B25" s="100">
        <v>14.0</v>
      </c>
      <c r="C25" s="102" t="s">
        <v>402</v>
      </c>
      <c r="D25" s="6"/>
      <c r="F25" s="104"/>
      <c r="G25" s="105"/>
      <c r="H25" s="16" t="s">
        <v>156</v>
      </c>
      <c r="I25" s="105"/>
    </row>
    <row r="26" ht="18.75" customHeight="1">
      <c r="A26" s="61"/>
      <c r="B26" s="100">
        <v>15.0</v>
      </c>
      <c r="C26" s="102" t="s">
        <v>403</v>
      </c>
      <c r="D26" s="6"/>
      <c r="F26" s="16"/>
      <c r="G26" s="89"/>
      <c r="H26" s="16" t="s">
        <v>156</v>
      </c>
      <c r="I26" s="89"/>
    </row>
    <row r="27" ht="18.75" customHeight="1">
      <c r="A27" s="61"/>
      <c r="B27" s="100">
        <v>16.0</v>
      </c>
      <c r="C27" s="102" t="s">
        <v>404</v>
      </c>
      <c r="D27" s="6"/>
      <c r="F27" s="16"/>
      <c r="G27" s="89"/>
      <c r="H27" s="16" t="s">
        <v>156</v>
      </c>
      <c r="I27" s="89"/>
    </row>
    <row r="28" ht="18.75" customHeight="1">
      <c r="A28" s="61"/>
      <c r="B28" s="100">
        <v>17.0</v>
      </c>
      <c r="C28" s="102" t="s">
        <v>405</v>
      </c>
      <c r="D28" s="6"/>
      <c r="F28" s="16"/>
      <c r="G28" s="89"/>
      <c r="H28" s="16" t="s">
        <v>156</v>
      </c>
      <c r="I28" s="89"/>
    </row>
    <row r="29" ht="18.75" customHeight="1">
      <c r="A29" s="61"/>
      <c r="B29" s="100">
        <v>18.0</v>
      </c>
      <c r="C29" s="102" t="s">
        <v>406</v>
      </c>
      <c r="D29" s="6"/>
      <c r="F29" s="16"/>
      <c r="G29" s="89"/>
      <c r="H29" s="16" t="s">
        <v>156</v>
      </c>
      <c r="I29" s="89"/>
    </row>
    <row r="30" ht="18.75" customHeight="1">
      <c r="A30" s="61"/>
      <c r="B30" s="100">
        <v>19.0</v>
      </c>
      <c r="C30" s="102" t="s">
        <v>407</v>
      </c>
      <c r="D30" s="6"/>
      <c r="F30" s="16"/>
      <c r="G30" s="89"/>
      <c r="H30" s="16" t="s">
        <v>156</v>
      </c>
      <c r="I30" s="89"/>
    </row>
    <row r="31" ht="18.75" customHeight="1">
      <c r="A31" s="61"/>
      <c r="B31" s="100">
        <v>20.0</v>
      </c>
      <c r="C31" s="101" t="s">
        <v>408</v>
      </c>
      <c r="D31" s="6"/>
      <c r="F31" s="16" t="s">
        <v>323</v>
      </c>
      <c r="G31" s="16"/>
      <c r="H31" s="16"/>
      <c r="I31" s="44"/>
    </row>
    <row r="32" ht="18.75" customHeight="1">
      <c r="A32" s="61"/>
      <c r="B32" s="100">
        <v>21.0</v>
      </c>
      <c r="C32" s="101" t="s">
        <v>409</v>
      </c>
      <c r="D32" s="6"/>
      <c r="F32" s="16"/>
      <c r="G32" s="16"/>
      <c r="H32" s="16" t="s">
        <v>156</v>
      </c>
      <c r="I32" s="44"/>
    </row>
    <row r="33" ht="15.75" customHeight="1">
      <c r="B33" s="106">
        <v>22.0</v>
      </c>
      <c r="C33" s="107" t="s">
        <v>410</v>
      </c>
      <c r="D33" s="50"/>
      <c r="F33" s="16"/>
      <c r="G33" s="16"/>
      <c r="H33" s="16" t="s">
        <v>156</v>
      </c>
      <c r="I33" s="44"/>
    </row>
    <row r="34" ht="15.75" customHeight="1">
      <c r="B34" s="108">
        <v>23.0</v>
      </c>
      <c r="C34" s="82" t="s">
        <v>411</v>
      </c>
      <c r="D34" s="6"/>
      <c r="F34" s="16"/>
      <c r="G34" s="16"/>
      <c r="H34" s="16" t="s">
        <v>156</v>
      </c>
      <c r="I34" s="44"/>
    </row>
    <row r="35" ht="15.75" customHeight="1">
      <c r="B35" s="108">
        <v>24.0</v>
      </c>
      <c r="C35" s="82" t="s">
        <v>412</v>
      </c>
      <c r="D35" s="6"/>
      <c r="F35" s="16"/>
      <c r="G35" s="16"/>
      <c r="H35" s="16" t="s">
        <v>156</v>
      </c>
      <c r="I35" s="44"/>
    </row>
    <row r="36" ht="15.75" customHeight="1">
      <c r="B36" s="108">
        <v>25.0</v>
      </c>
      <c r="C36" s="82" t="s">
        <v>413</v>
      </c>
      <c r="D36" s="6"/>
      <c r="F36" s="16"/>
      <c r="G36" s="16"/>
      <c r="H36" s="16" t="s">
        <v>156</v>
      </c>
      <c r="I36" s="44"/>
    </row>
    <row r="37" ht="15.75" customHeight="1">
      <c r="B37" s="109">
        <v>26.0</v>
      </c>
      <c r="C37" s="82" t="s">
        <v>414</v>
      </c>
      <c r="D37" s="6"/>
      <c r="E37" s="83"/>
      <c r="F37" s="16" t="s">
        <v>323</v>
      </c>
      <c r="G37" s="16"/>
      <c r="H37" s="16"/>
      <c r="I37" s="44"/>
    </row>
    <row r="38" ht="15.75" customHeight="1">
      <c r="B38" s="109">
        <v>27.0</v>
      </c>
      <c r="C38" s="84" t="s">
        <v>415</v>
      </c>
      <c r="D38" s="6"/>
      <c r="E38" s="83"/>
      <c r="F38" s="16"/>
      <c r="G38" s="16"/>
      <c r="H38" s="16" t="s">
        <v>156</v>
      </c>
      <c r="I38" s="44"/>
    </row>
    <row r="39" ht="15.75" customHeight="1">
      <c r="B39" s="109">
        <v>28.0</v>
      </c>
      <c r="C39" s="82" t="s">
        <v>416</v>
      </c>
      <c r="D39" s="6"/>
      <c r="E39" s="83"/>
      <c r="F39" s="16"/>
      <c r="G39" s="16"/>
      <c r="H39" s="16" t="s">
        <v>156</v>
      </c>
      <c r="I39" s="44"/>
    </row>
    <row r="40" ht="15.75" customHeight="1">
      <c r="B40" s="109">
        <v>29.0</v>
      </c>
      <c r="C40" s="82" t="s">
        <v>417</v>
      </c>
      <c r="D40" s="6"/>
      <c r="E40" s="83"/>
      <c r="F40" s="16"/>
      <c r="G40" s="16"/>
      <c r="H40" s="16" t="s">
        <v>156</v>
      </c>
      <c r="I40" s="44"/>
    </row>
    <row r="41" ht="15.75" customHeight="1">
      <c r="B41" s="110">
        <v>30.0</v>
      </c>
      <c r="C41" s="84" t="s">
        <v>418</v>
      </c>
      <c r="D41" s="6"/>
      <c r="E41" s="83"/>
      <c r="F41" s="16"/>
      <c r="G41" s="16"/>
      <c r="H41" s="16" t="s">
        <v>156</v>
      </c>
      <c r="I41" s="44"/>
    </row>
    <row r="42" ht="15.75" customHeight="1">
      <c r="B42" s="110">
        <v>31.0</v>
      </c>
      <c r="C42" s="82" t="s">
        <v>419</v>
      </c>
      <c r="D42" s="6"/>
      <c r="F42" s="16"/>
      <c r="G42" s="16"/>
      <c r="H42" s="16" t="s">
        <v>156</v>
      </c>
      <c r="I42" s="44"/>
    </row>
    <row r="43" ht="15.75" customHeight="1">
      <c r="B43" s="110">
        <v>32.0</v>
      </c>
      <c r="C43" s="82" t="s">
        <v>420</v>
      </c>
      <c r="D43" s="6"/>
      <c r="F43" s="16"/>
      <c r="G43" s="16"/>
      <c r="H43" s="16" t="s">
        <v>156</v>
      </c>
      <c r="I43" s="44"/>
    </row>
    <row r="44" ht="15.75" customHeight="1">
      <c r="B44" s="110">
        <v>33.0</v>
      </c>
      <c r="C44" s="82" t="s">
        <v>421</v>
      </c>
      <c r="D44" s="6"/>
      <c r="F44" s="16"/>
      <c r="G44" s="16"/>
      <c r="H44" s="16" t="s">
        <v>156</v>
      </c>
      <c r="I44" s="44"/>
    </row>
    <row r="45" ht="15.75" customHeight="1">
      <c r="B45" s="109">
        <v>34.0</v>
      </c>
      <c r="C45" s="82" t="s">
        <v>422</v>
      </c>
      <c r="D45" s="6"/>
      <c r="E45" s="83"/>
      <c r="F45" s="16" t="s">
        <v>323</v>
      </c>
      <c r="G45" s="16"/>
      <c r="H45" s="16"/>
      <c r="I45" s="44"/>
    </row>
    <row r="46" ht="15.75" customHeight="1">
      <c r="B46" s="109">
        <v>35.0</v>
      </c>
      <c r="C46" s="84" t="s">
        <v>423</v>
      </c>
      <c r="D46" s="6"/>
      <c r="E46" s="83"/>
      <c r="F46" s="16"/>
      <c r="G46" s="16"/>
      <c r="H46" s="16" t="s">
        <v>156</v>
      </c>
      <c r="I46" s="44"/>
    </row>
    <row r="47" ht="15.75" customHeight="1">
      <c r="B47" s="109">
        <v>36.0</v>
      </c>
      <c r="C47" s="82" t="s">
        <v>424</v>
      </c>
      <c r="D47" s="6"/>
      <c r="E47" s="83"/>
      <c r="F47" s="16"/>
      <c r="G47" s="16"/>
      <c r="H47" s="16" t="s">
        <v>156</v>
      </c>
      <c r="I47" s="44"/>
    </row>
    <row r="48" ht="15.75" customHeight="1">
      <c r="B48" s="109">
        <v>37.0</v>
      </c>
      <c r="C48" s="82" t="s">
        <v>425</v>
      </c>
      <c r="D48" s="6"/>
      <c r="E48" s="83"/>
      <c r="F48" s="16"/>
      <c r="G48" s="16"/>
      <c r="H48" s="16" t="s">
        <v>156</v>
      </c>
      <c r="I48" s="44"/>
    </row>
    <row r="49" ht="15.75" customHeight="1">
      <c r="B49" s="110">
        <v>38.0</v>
      </c>
      <c r="C49" s="84" t="s">
        <v>426</v>
      </c>
      <c r="D49" s="6"/>
      <c r="E49" s="83"/>
      <c r="F49" s="16"/>
      <c r="G49" s="16"/>
      <c r="H49" s="16" t="s">
        <v>156</v>
      </c>
      <c r="I49" s="44"/>
    </row>
    <row r="50" ht="15.75" customHeight="1">
      <c r="B50" s="110">
        <v>39.0</v>
      </c>
      <c r="C50" s="82" t="s">
        <v>427</v>
      </c>
      <c r="D50" s="6"/>
      <c r="F50" s="16"/>
      <c r="G50" s="16"/>
      <c r="H50" s="16" t="s">
        <v>156</v>
      </c>
      <c r="I50" s="44"/>
    </row>
    <row r="51" ht="15.75" customHeight="1">
      <c r="B51" s="110">
        <v>40.0</v>
      </c>
      <c r="C51" s="82" t="s">
        <v>428</v>
      </c>
      <c r="D51" s="6"/>
      <c r="F51" s="16"/>
      <c r="G51" s="16"/>
      <c r="H51" s="16" t="s">
        <v>156</v>
      </c>
      <c r="I51" s="44"/>
    </row>
    <row r="52" ht="15.75" customHeight="1">
      <c r="B52" s="110">
        <v>41.0</v>
      </c>
      <c r="C52" s="82" t="s">
        <v>429</v>
      </c>
      <c r="D52" s="6"/>
      <c r="F52" s="16"/>
      <c r="G52" s="16"/>
      <c r="H52" s="16" t="s">
        <v>156</v>
      </c>
      <c r="I52" s="44"/>
    </row>
    <row r="53" ht="15.75" customHeight="1">
      <c r="B53" s="110">
        <v>42.0</v>
      </c>
      <c r="C53" s="82" t="s">
        <v>430</v>
      </c>
      <c r="D53" s="6"/>
      <c r="F53" s="16"/>
      <c r="G53" s="16"/>
      <c r="H53" s="16" t="s">
        <v>156</v>
      </c>
      <c r="I53" s="44"/>
    </row>
    <row r="54" ht="15.75" customHeight="1">
      <c r="B54" s="110">
        <v>43.0</v>
      </c>
      <c r="C54" s="82" t="s">
        <v>431</v>
      </c>
      <c r="D54" s="6"/>
      <c r="F54" s="16"/>
      <c r="G54" s="16"/>
      <c r="H54" s="16" t="s">
        <v>156</v>
      </c>
      <c r="I54" s="44"/>
    </row>
    <row r="55" ht="15.75" customHeight="1">
      <c r="B55" s="110">
        <v>44.0</v>
      </c>
      <c r="C55" s="82" t="s">
        <v>432</v>
      </c>
      <c r="D55" s="6"/>
      <c r="F55" s="16"/>
      <c r="G55" s="16"/>
      <c r="H55" s="16" t="s">
        <v>156</v>
      </c>
      <c r="I55" s="44"/>
    </row>
    <row r="56" ht="15.75" customHeight="1">
      <c r="B56" s="110">
        <v>45.0</v>
      </c>
      <c r="C56" s="82" t="s">
        <v>433</v>
      </c>
      <c r="D56" s="6"/>
      <c r="F56" s="16"/>
      <c r="G56" s="16"/>
      <c r="H56" s="16" t="s">
        <v>156</v>
      </c>
      <c r="I56" s="44"/>
    </row>
    <row r="57" ht="15.75" customHeight="1">
      <c r="B57" s="108">
        <v>46.0</v>
      </c>
      <c r="C57" s="86" t="s">
        <v>434</v>
      </c>
      <c r="D57" s="87"/>
      <c r="F57" s="16"/>
      <c r="G57" s="16"/>
      <c r="H57" s="16" t="s">
        <v>156</v>
      </c>
      <c r="I57" s="44"/>
    </row>
    <row r="58" ht="15.75" customHeight="1">
      <c r="B58" s="108">
        <v>47.0</v>
      </c>
      <c r="C58" s="88" t="s">
        <v>435</v>
      </c>
      <c r="D58" s="6"/>
      <c r="F58" s="104"/>
      <c r="G58" s="105"/>
      <c r="H58" s="16" t="s">
        <v>156</v>
      </c>
      <c r="I58" s="105"/>
    </row>
    <row r="59" ht="15.75" customHeight="1">
      <c r="B59" s="108">
        <v>48.0</v>
      </c>
      <c r="C59" s="88" t="s">
        <v>436</v>
      </c>
      <c r="D59" s="6"/>
      <c r="F59" s="16"/>
      <c r="G59" s="89"/>
      <c r="H59" s="16" t="s">
        <v>156</v>
      </c>
      <c r="I59" s="89"/>
    </row>
    <row r="60" ht="15.75" customHeight="1">
      <c r="B60" s="108">
        <v>49.0</v>
      </c>
      <c r="C60" s="88" t="s">
        <v>437</v>
      </c>
      <c r="D60" s="6"/>
      <c r="F60" s="16"/>
      <c r="G60" s="89"/>
      <c r="H60" s="16" t="s">
        <v>156</v>
      </c>
      <c r="I60" s="89"/>
    </row>
    <row r="61" ht="15.75" customHeight="1">
      <c r="B61" s="108">
        <v>50.0</v>
      </c>
      <c r="C61" s="88" t="s">
        <v>438</v>
      </c>
      <c r="D61" s="6"/>
      <c r="F61" s="16"/>
      <c r="G61" s="89"/>
      <c r="H61" s="16" t="s">
        <v>156</v>
      </c>
      <c r="I61" s="89"/>
    </row>
    <row r="62" ht="15.75" customHeight="1">
      <c r="B62" s="108">
        <v>51.0</v>
      </c>
      <c r="C62" s="88" t="s">
        <v>439</v>
      </c>
      <c r="D62" s="6"/>
      <c r="F62" s="16"/>
      <c r="G62" s="89"/>
      <c r="H62" s="16" t="s">
        <v>156</v>
      </c>
      <c r="I62" s="89"/>
    </row>
    <row r="63" ht="15.75" customHeight="1">
      <c r="B63" s="108">
        <v>52.0</v>
      </c>
      <c r="C63" s="111" t="s">
        <v>440</v>
      </c>
      <c r="D63" s="50"/>
      <c r="F63" s="16"/>
      <c r="G63" s="89"/>
      <c r="H63" s="16" t="s">
        <v>156</v>
      </c>
      <c r="I63" s="89"/>
    </row>
    <row r="64" ht="15.75" customHeight="1">
      <c r="B64" s="108">
        <v>53.0</v>
      </c>
      <c r="C64" s="82" t="s">
        <v>441</v>
      </c>
      <c r="D64" s="6"/>
      <c r="F64" s="16" t="s">
        <v>323</v>
      </c>
      <c r="G64" s="16"/>
      <c r="H64" s="16"/>
      <c r="I64" s="44"/>
    </row>
    <row r="65" ht="15.75" customHeight="1">
      <c r="B65" s="109">
        <v>54.0</v>
      </c>
      <c r="C65" s="82" t="s">
        <v>442</v>
      </c>
      <c r="D65" s="6"/>
      <c r="E65" s="83"/>
      <c r="F65" s="16" t="s">
        <v>323</v>
      </c>
      <c r="G65" s="16"/>
      <c r="H65" s="16"/>
      <c r="I65" s="44"/>
    </row>
    <row r="66" ht="15.75" customHeight="1">
      <c r="B66" s="109">
        <v>55.0</v>
      </c>
      <c r="C66" s="84" t="s">
        <v>443</v>
      </c>
      <c r="D66" s="6"/>
      <c r="E66" s="83"/>
      <c r="F66" s="16"/>
      <c r="G66" s="16"/>
      <c r="H66" s="16" t="s">
        <v>156</v>
      </c>
      <c r="I66" s="44"/>
    </row>
    <row r="67" ht="15.75" customHeight="1">
      <c r="B67" s="109">
        <v>56.0</v>
      </c>
      <c r="C67" s="82" t="s">
        <v>444</v>
      </c>
      <c r="D67" s="6"/>
      <c r="E67" s="83"/>
      <c r="F67" s="16"/>
      <c r="G67" s="16"/>
      <c r="H67" s="16" t="s">
        <v>156</v>
      </c>
      <c r="I67" s="44"/>
    </row>
    <row r="68" ht="15.75" customHeight="1">
      <c r="B68" s="109">
        <v>57.0</v>
      </c>
      <c r="C68" s="82" t="s">
        <v>445</v>
      </c>
      <c r="D68" s="6"/>
      <c r="E68" s="83"/>
      <c r="F68" s="16"/>
      <c r="G68" s="16"/>
      <c r="H68" s="16" t="s">
        <v>156</v>
      </c>
      <c r="I68" s="44"/>
    </row>
    <row r="69" ht="15.75" customHeight="1">
      <c r="B69" s="110">
        <v>58.0</v>
      </c>
      <c r="C69" s="84" t="s">
        <v>446</v>
      </c>
      <c r="D69" s="6"/>
      <c r="E69" s="83"/>
      <c r="F69" s="16"/>
      <c r="G69" s="16"/>
      <c r="H69" s="16" t="s">
        <v>156</v>
      </c>
      <c r="I69" s="44"/>
    </row>
    <row r="70" ht="15.75" customHeight="1">
      <c r="B70" s="110">
        <v>59.0</v>
      </c>
      <c r="C70" s="82" t="s">
        <v>447</v>
      </c>
      <c r="D70" s="6"/>
      <c r="F70" s="16"/>
      <c r="G70" s="16"/>
      <c r="H70" s="16" t="s">
        <v>156</v>
      </c>
      <c r="I70" s="44"/>
    </row>
    <row r="71" ht="15.75" customHeight="1">
      <c r="B71" s="110">
        <v>60.0</v>
      </c>
      <c r="C71" s="82" t="s">
        <v>448</v>
      </c>
      <c r="D71" s="6"/>
      <c r="F71" s="16"/>
      <c r="G71" s="16"/>
      <c r="H71" s="16" t="s">
        <v>156</v>
      </c>
      <c r="I71" s="44"/>
    </row>
    <row r="72" ht="15.75" customHeight="1">
      <c r="B72" s="110">
        <v>61.0</v>
      </c>
      <c r="C72" s="82" t="s">
        <v>449</v>
      </c>
      <c r="D72" s="6"/>
      <c r="F72" s="16"/>
      <c r="G72" s="16"/>
      <c r="H72" s="16" t="s">
        <v>156</v>
      </c>
      <c r="I72" s="44"/>
    </row>
    <row r="73" ht="15.75" customHeight="1">
      <c r="B73" s="110">
        <v>62.0</v>
      </c>
      <c r="C73" s="82" t="s">
        <v>450</v>
      </c>
      <c r="D73" s="6"/>
      <c r="F73" s="16"/>
      <c r="G73" s="16"/>
      <c r="H73" s="16" t="s">
        <v>156</v>
      </c>
      <c r="I73" s="44"/>
    </row>
    <row r="74" ht="15.75" customHeight="1">
      <c r="B74" s="110">
        <v>63.0</v>
      </c>
      <c r="C74" s="82" t="s">
        <v>451</v>
      </c>
      <c r="D74" s="6"/>
      <c r="F74" s="16"/>
      <c r="G74" s="16"/>
      <c r="H74" s="16" t="s">
        <v>156</v>
      </c>
      <c r="I74" s="44"/>
    </row>
    <row r="75" ht="15.75" customHeight="1">
      <c r="B75" s="110">
        <v>64.0</v>
      </c>
      <c r="C75" s="82" t="s">
        <v>452</v>
      </c>
      <c r="D75" s="6"/>
      <c r="F75" s="16"/>
      <c r="G75" s="16"/>
      <c r="H75" s="16" t="s">
        <v>156</v>
      </c>
      <c r="I75" s="44"/>
    </row>
    <row r="76" ht="15.75" customHeight="1">
      <c r="B76" s="110">
        <v>65.0</v>
      </c>
      <c r="C76" s="82" t="s">
        <v>453</v>
      </c>
      <c r="D76" s="6"/>
      <c r="F76" s="16"/>
      <c r="G76" s="16"/>
      <c r="H76" s="16" t="s">
        <v>156</v>
      </c>
      <c r="I76" s="44"/>
    </row>
    <row r="77" ht="15.75" customHeight="1">
      <c r="B77" s="108">
        <v>66.0</v>
      </c>
      <c r="C77" s="86" t="s">
        <v>454</v>
      </c>
      <c r="D77" s="87"/>
      <c r="F77" s="16"/>
      <c r="G77" s="16"/>
      <c r="H77" s="16" t="s">
        <v>156</v>
      </c>
      <c r="I77" s="44"/>
    </row>
    <row r="78" ht="15.75" customHeight="1">
      <c r="B78" s="108">
        <v>67.0</v>
      </c>
      <c r="C78" s="88" t="s">
        <v>455</v>
      </c>
      <c r="D78" s="6"/>
      <c r="F78" s="104"/>
      <c r="G78" s="105"/>
      <c r="H78" s="16" t="s">
        <v>156</v>
      </c>
      <c r="I78" s="105"/>
    </row>
    <row r="79" ht="15.75" customHeight="1">
      <c r="B79" s="108">
        <v>68.0</v>
      </c>
      <c r="C79" s="88" t="s">
        <v>456</v>
      </c>
      <c r="D79" s="6"/>
      <c r="F79" s="16"/>
      <c r="G79" s="89"/>
      <c r="H79" s="16" t="s">
        <v>156</v>
      </c>
      <c r="I79" s="89"/>
    </row>
    <row r="80" ht="15.75" customHeight="1">
      <c r="B80" s="108">
        <v>69.0</v>
      </c>
      <c r="C80" s="88" t="s">
        <v>457</v>
      </c>
      <c r="D80" s="6"/>
      <c r="F80" s="16"/>
      <c r="G80" s="89"/>
      <c r="H80" s="16" t="s">
        <v>156</v>
      </c>
      <c r="I80" s="89"/>
    </row>
    <row r="81" ht="15.75" customHeight="1">
      <c r="B81" s="108">
        <v>70.0</v>
      </c>
      <c r="C81" s="88" t="s">
        <v>458</v>
      </c>
      <c r="D81" s="6"/>
      <c r="F81" s="16"/>
      <c r="G81" s="89"/>
      <c r="H81" s="16" t="s">
        <v>156</v>
      </c>
      <c r="I81" s="89"/>
    </row>
    <row r="82" ht="15.75" customHeight="1">
      <c r="B82" s="108">
        <v>71.0</v>
      </c>
      <c r="C82" s="88" t="s">
        <v>459</v>
      </c>
      <c r="D82" s="6"/>
      <c r="F82" s="16"/>
      <c r="G82" s="89"/>
      <c r="H82" s="16" t="s">
        <v>156</v>
      </c>
      <c r="I82" s="89"/>
    </row>
    <row r="83" ht="15.75" customHeight="1">
      <c r="B83" s="108">
        <v>72.0</v>
      </c>
      <c r="C83" s="111" t="s">
        <v>460</v>
      </c>
      <c r="D83" s="50"/>
      <c r="F83" s="16"/>
      <c r="G83" s="89"/>
      <c r="H83" s="16" t="s">
        <v>156</v>
      </c>
      <c r="I83" s="89"/>
    </row>
    <row r="84" ht="15.75" customHeight="1">
      <c r="B84" s="108">
        <v>73.0</v>
      </c>
      <c r="C84" s="82" t="s">
        <v>461</v>
      </c>
      <c r="D84" s="6"/>
      <c r="F84" s="16" t="s">
        <v>323</v>
      </c>
      <c r="G84" s="16"/>
      <c r="H84" s="16"/>
      <c r="I84" s="44"/>
    </row>
    <row r="85" ht="15.75" customHeight="1">
      <c r="B85" s="108">
        <v>74.0</v>
      </c>
      <c r="C85" s="82" t="s">
        <v>462</v>
      </c>
      <c r="D85" s="6"/>
      <c r="F85" s="16"/>
      <c r="G85" s="16"/>
      <c r="H85" s="16" t="s">
        <v>156</v>
      </c>
      <c r="I85" s="44"/>
    </row>
    <row r="86" ht="15.75" customHeight="1">
      <c r="B86" s="108">
        <v>75.0</v>
      </c>
      <c r="C86" s="82" t="s">
        <v>463</v>
      </c>
      <c r="D86" s="6"/>
      <c r="F86" s="16"/>
      <c r="G86" s="16"/>
      <c r="H86" s="16" t="s">
        <v>156</v>
      </c>
      <c r="I86" s="44"/>
    </row>
    <row r="87" ht="15.75" customHeight="1">
      <c r="B87" s="108">
        <v>76.0</v>
      </c>
      <c r="C87" s="82" t="s">
        <v>464</v>
      </c>
      <c r="D87" s="6"/>
      <c r="F87" s="16"/>
      <c r="G87" s="16"/>
      <c r="H87" s="16" t="s">
        <v>156</v>
      </c>
      <c r="I87" s="44"/>
    </row>
    <row r="88" ht="15.75" customHeight="1">
      <c r="B88" s="108">
        <v>77.0</v>
      </c>
      <c r="C88" s="82" t="s">
        <v>465</v>
      </c>
      <c r="D88" s="6"/>
      <c r="F88" s="16"/>
      <c r="G88" s="16"/>
      <c r="H88" s="16" t="s">
        <v>156</v>
      </c>
      <c r="I88" s="44"/>
    </row>
    <row r="89" ht="15.75" customHeight="1">
      <c r="B89" s="108">
        <v>78.0</v>
      </c>
      <c r="C89" s="82" t="s">
        <v>466</v>
      </c>
      <c r="D89" s="6"/>
      <c r="F89" s="16"/>
      <c r="G89" s="16"/>
      <c r="H89" s="16" t="s">
        <v>156</v>
      </c>
      <c r="I89" s="44"/>
    </row>
    <row r="90" ht="15.75" customHeight="1">
      <c r="B90" s="109">
        <v>79.0</v>
      </c>
      <c r="C90" s="82" t="s">
        <v>467</v>
      </c>
      <c r="D90" s="6"/>
      <c r="E90" s="83"/>
      <c r="F90" s="16" t="s">
        <v>323</v>
      </c>
      <c r="G90" s="16"/>
      <c r="H90" s="16"/>
      <c r="I90" s="44"/>
    </row>
    <row r="91" ht="15.75" customHeight="1">
      <c r="B91" s="109">
        <v>80.0</v>
      </c>
      <c r="C91" s="84" t="s">
        <v>468</v>
      </c>
      <c r="D91" s="6"/>
      <c r="E91" s="83"/>
      <c r="F91" s="16"/>
      <c r="G91" s="16"/>
      <c r="H91" s="16" t="s">
        <v>156</v>
      </c>
      <c r="I91" s="44"/>
    </row>
    <row r="92" ht="15.75" customHeight="1">
      <c r="B92" s="109">
        <v>81.0</v>
      </c>
      <c r="C92" s="82" t="s">
        <v>469</v>
      </c>
      <c r="D92" s="6"/>
      <c r="E92" s="83"/>
      <c r="F92" s="16"/>
      <c r="G92" s="16"/>
      <c r="H92" s="16" t="s">
        <v>156</v>
      </c>
      <c r="I92" s="44"/>
    </row>
    <row r="93" ht="15.75" customHeight="1">
      <c r="B93" s="109">
        <v>82.0</v>
      </c>
      <c r="C93" s="82" t="s">
        <v>417</v>
      </c>
      <c r="D93" s="6"/>
      <c r="E93" s="83"/>
      <c r="F93" s="16"/>
      <c r="G93" s="16"/>
      <c r="H93" s="16" t="s">
        <v>156</v>
      </c>
      <c r="I93" s="44"/>
    </row>
    <row r="94" ht="15.75" customHeight="1">
      <c r="B94" s="110">
        <v>83.0</v>
      </c>
      <c r="C94" s="84" t="s">
        <v>470</v>
      </c>
      <c r="D94" s="6"/>
      <c r="E94" s="83"/>
      <c r="F94" s="16"/>
      <c r="G94" s="16"/>
      <c r="H94" s="16" t="s">
        <v>156</v>
      </c>
      <c r="I94" s="44"/>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3">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93:D93"/>
    <mergeCell ref="C94:D94"/>
    <mergeCell ref="C86:D86"/>
    <mergeCell ref="C87:D87"/>
    <mergeCell ref="C88:D88"/>
    <mergeCell ref="C89:D89"/>
    <mergeCell ref="C90:D90"/>
    <mergeCell ref="C91:D91"/>
    <mergeCell ref="C92:D92"/>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2.86"/>
    <col customWidth="1" min="2" max="2" width="4.14"/>
    <col customWidth="1" min="4" max="4" width="121.57"/>
    <col customWidth="1" min="5" max="5" width="4.29"/>
    <col customWidth="1" min="6" max="8" width="7.14"/>
    <col customWidth="1" min="9" max="9" width="85.71"/>
    <col customWidth="1" min="10" max="10" width="11.43"/>
    <col customWidth="1" min="11" max="11" width="14.14"/>
    <col customWidth="1" min="12" max="26" width="11.43"/>
  </cols>
  <sheetData>
    <row r="2" ht="21.75" customHeight="1">
      <c r="B2" s="52" t="s">
        <v>141</v>
      </c>
      <c r="C2" s="53"/>
      <c r="D2" s="53"/>
      <c r="E2" s="53"/>
      <c r="F2" s="53"/>
      <c r="G2" s="53"/>
      <c r="H2" s="53"/>
      <c r="I2" s="54"/>
      <c r="K2" s="99" t="s">
        <v>9</v>
      </c>
      <c r="L2" s="56"/>
    </row>
    <row r="3" ht="15.0" customHeight="1">
      <c r="B3" s="57"/>
      <c r="C3" s="57"/>
      <c r="D3" s="57"/>
      <c r="K3" s="44" t="s">
        <v>142</v>
      </c>
      <c r="L3" s="58">
        <f>COUNT(B12:D99)</f>
        <v>88</v>
      </c>
    </row>
    <row r="4">
      <c r="B4" s="59" t="s">
        <v>143</v>
      </c>
      <c r="C4" s="60" t="s">
        <v>144</v>
      </c>
      <c r="K4" s="44" t="s">
        <v>29</v>
      </c>
      <c r="L4" s="58">
        <f>COUNTIF(F12:F99,"X")</f>
        <v>8</v>
      </c>
    </row>
    <row r="5">
      <c r="B5" s="59" t="s">
        <v>145</v>
      </c>
      <c r="C5" s="60" t="s">
        <v>146</v>
      </c>
    </row>
    <row r="6">
      <c r="B6" s="59" t="s">
        <v>147</v>
      </c>
      <c r="C6" s="60" t="s">
        <v>148</v>
      </c>
      <c r="K6" s="44" t="s">
        <v>149</v>
      </c>
      <c r="L6" s="58">
        <f>L3/L4</f>
        <v>11</v>
      </c>
    </row>
    <row r="7">
      <c r="B7" s="63" t="s">
        <v>150</v>
      </c>
      <c r="D7" s="60" t="s">
        <v>151</v>
      </c>
    </row>
    <row r="8">
      <c r="B8" s="64"/>
      <c r="C8" s="64"/>
      <c r="D8" s="60"/>
    </row>
    <row r="9">
      <c r="F9" s="65" t="s">
        <v>152</v>
      </c>
      <c r="G9" s="66"/>
      <c r="H9" s="67"/>
      <c r="I9" s="68" t="s">
        <v>153</v>
      </c>
    </row>
    <row r="10" ht="20.25" customHeight="1">
      <c r="B10" s="99" t="s">
        <v>471</v>
      </c>
      <c r="C10" s="70"/>
      <c r="D10" s="56"/>
      <c r="E10" s="71"/>
      <c r="F10" s="72" t="s">
        <v>143</v>
      </c>
      <c r="G10" s="73" t="s">
        <v>145</v>
      </c>
      <c r="H10" s="73" t="s">
        <v>147</v>
      </c>
      <c r="I10" s="74"/>
      <c r="J10" s="75"/>
    </row>
    <row r="11" ht="11.25" customHeight="1">
      <c r="B11" s="76"/>
      <c r="C11" s="77"/>
      <c r="D11" s="78"/>
      <c r="I11" s="79"/>
    </row>
    <row r="12" ht="18.75" customHeight="1">
      <c r="A12" s="61"/>
      <c r="B12" s="112">
        <v>1.0</v>
      </c>
      <c r="C12" s="44" t="s">
        <v>472</v>
      </c>
      <c r="D12" s="44"/>
      <c r="E12" s="83"/>
      <c r="F12" s="16" t="s">
        <v>323</v>
      </c>
      <c r="G12" s="16"/>
      <c r="H12" s="16"/>
      <c r="I12" s="44"/>
    </row>
    <row r="13" ht="18.75" customHeight="1">
      <c r="A13" s="61"/>
      <c r="B13" s="112">
        <v>2.0</v>
      </c>
      <c r="C13" s="44" t="s">
        <v>473</v>
      </c>
      <c r="D13" s="44"/>
      <c r="E13" s="83"/>
      <c r="F13" s="16"/>
      <c r="G13" s="16"/>
      <c r="H13" s="16" t="s">
        <v>156</v>
      </c>
      <c r="I13" s="44"/>
    </row>
    <row r="14" ht="18.75" customHeight="1">
      <c r="A14" s="61"/>
      <c r="B14" s="112">
        <v>3.0</v>
      </c>
      <c r="C14" s="44" t="s">
        <v>474</v>
      </c>
      <c r="D14" s="44"/>
      <c r="E14" s="83"/>
      <c r="F14" s="16"/>
      <c r="G14" s="16"/>
      <c r="H14" s="16" t="s">
        <v>156</v>
      </c>
      <c r="I14" s="44"/>
    </row>
    <row r="15" ht="18.75" customHeight="1">
      <c r="A15" s="61"/>
      <c r="B15" s="112">
        <v>4.0</v>
      </c>
      <c r="C15" s="44" t="s">
        <v>475</v>
      </c>
      <c r="D15" s="44"/>
      <c r="E15" s="83"/>
      <c r="F15" s="16"/>
      <c r="G15" s="16"/>
      <c r="H15" s="16" t="s">
        <v>156</v>
      </c>
      <c r="I15" s="44"/>
    </row>
    <row r="16" ht="18.75" customHeight="1">
      <c r="A16" s="61"/>
      <c r="B16" s="112">
        <v>5.0</v>
      </c>
      <c r="C16" s="44" t="s">
        <v>476</v>
      </c>
      <c r="D16" s="44"/>
      <c r="E16" s="83"/>
      <c r="F16" s="16"/>
      <c r="G16" s="16"/>
      <c r="H16" s="16" t="s">
        <v>156</v>
      </c>
      <c r="I16" s="44"/>
    </row>
    <row r="17" ht="18.75" customHeight="1">
      <c r="A17" s="61"/>
      <c r="B17" s="112">
        <v>6.0</v>
      </c>
      <c r="C17" s="44" t="s">
        <v>477</v>
      </c>
      <c r="D17" s="44"/>
      <c r="F17" s="16"/>
      <c r="G17" s="16"/>
      <c r="H17" s="16" t="s">
        <v>156</v>
      </c>
      <c r="I17" s="44"/>
    </row>
    <row r="18" ht="18.75" customHeight="1">
      <c r="A18" s="61"/>
      <c r="B18" s="112">
        <v>7.0</v>
      </c>
      <c r="C18" s="44" t="s">
        <v>478</v>
      </c>
      <c r="D18" s="44"/>
      <c r="F18" s="16"/>
      <c r="G18" s="16"/>
      <c r="H18" s="16" t="s">
        <v>156</v>
      </c>
      <c r="I18" s="44"/>
    </row>
    <row r="19" ht="18.75" customHeight="1">
      <c r="A19" s="61"/>
      <c r="B19" s="112">
        <v>8.0</v>
      </c>
      <c r="C19" s="44" t="s">
        <v>479</v>
      </c>
      <c r="D19" s="44"/>
      <c r="F19" s="16"/>
      <c r="G19" s="16"/>
      <c r="H19" s="16" t="s">
        <v>156</v>
      </c>
      <c r="I19" s="44"/>
    </row>
    <row r="20" ht="18.75" customHeight="1">
      <c r="A20" s="61"/>
      <c r="B20" s="112">
        <v>9.0</v>
      </c>
      <c r="C20" s="44" t="s">
        <v>480</v>
      </c>
      <c r="D20" s="44"/>
      <c r="F20" s="16"/>
      <c r="G20" s="16"/>
      <c r="H20" s="16" t="s">
        <v>156</v>
      </c>
      <c r="I20" s="44"/>
    </row>
    <row r="21" ht="15.75" customHeight="1">
      <c r="A21" s="61"/>
      <c r="B21" s="112">
        <v>10.0</v>
      </c>
      <c r="C21" s="113" t="s">
        <v>481</v>
      </c>
      <c r="D21" s="6"/>
      <c r="F21" s="16"/>
      <c r="G21" s="16"/>
      <c r="H21" s="16" t="s">
        <v>156</v>
      </c>
      <c r="I21" s="44"/>
    </row>
    <row r="22" ht="15.75" customHeight="1">
      <c r="A22" s="61"/>
      <c r="B22" s="112">
        <v>11.0</v>
      </c>
      <c r="C22" s="44" t="s">
        <v>482</v>
      </c>
      <c r="D22" s="44"/>
      <c r="F22" s="16"/>
      <c r="G22" s="16"/>
      <c r="H22" s="16" t="s">
        <v>156</v>
      </c>
      <c r="I22" s="44"/>
    </row>
    <row r="23" ht="15.75" customHeight="1">
      <c r="A23" s="61"/>
      <c r="B23" s="112">
        <v>12.0</v>
      </c>
      <c r="C23" s="44" t="s">
        <v>483</v>
      </c>
      <c r="D23" s="44"/>
      <c r="F23" s="16"/>
      <c r="G23" s="16"/>
      <c r="H23" s="16" t="s">
        <v>156</v>
      </c>
      <c r="I23" s="44"/>
    </row>
    <row r="24" ht="15.75" customHeight="1">
      <c r="A24" s="61"/>
      <c r="B24" s="112">
        <v>13.0</v>
      </c>
      <c r="C24" s="44" t="s">
        <v>484</v>
      </c>
      <c r="D24" s="44"/>
      <c r="F24" s="16"/>
      <c r="G24" s="16"/>
      <c r="H24" s="16" t="s">
        <v>156</v>
      </c>
      <c r="I24" s="44"/>
    </row>
    <row r="25" ht="15.75" customHeight="1">
      <c r="A25" s="61"/>
      <c r="B25" s="112">
        <v>14.0</v>
      </c>
      <c r="C25" s="44" t="s">
        <v>485</v>
      </c>
      <c r="D25" s="44"/>
      <c r="F25" s="104"/>
      <c r="G25" s="105"/>
      <c r="H25" s="16" t="s">
        <v>156</v>
      </c>
      <c r="I25" s="105"/>
    </row>
    <row r="26" ht="15.75" customHeight="1">
      <c r="A26" s="61"/>
      <c r="B26" s="112">
        <v>15.0</v>
      </c>
      <c r="C26" s="44" t="s">
        <v>486</v>
      </c>
      <c r="D26" s="44"/>
      <c r="F26" s="16"/>
      <c r="G26" s="89"/>
      <c r="H26" s="16" t="s">
        <v>156</v>
      </c>
      <c r="I26" s="89"/>
    </row>
    <row r="27" ht="15.75" customHeight="1">
      <c r="A27" s="61"/>
      <c r="B27" s="112">
        <v>16.0</v>
      </c>
      <c r="C27" s="44" t="s">
        <v>487</v>
      </c>
      <c r="D27" s="44"/>
      <c r="F27" s="16"/>
      <c r="G27" s="89"/>
      <c r="H27" s="16" t="s">
        <v>156</v>
      </c>
      <c r="I27" s="89"/>
    </row>
    <row r="28" ht="15.75" customHeight="1">
      <c r="A28" s="61"/>
      <c r="B28" s="112">
        <v>17.0</v>
      </c>
      <c r="C28" s="44" t="s">
        <v>488</v>
      </c>
      <c r="D28" s="44"/>
      <c r="F28" s="16"/>
      <c r="G28" s="89"/>
      <c r="H28" s="16" t="s">
        <v>156</v>
      </c>
      <c r="I28" s="89"/>
    </row>
    <row r="29" ht="15.75" customHeight="1">
      <c r="A29" s="61"/>
      <c r="B29" s="112">
        <v>18.0</v>
      </c>
      <c r="C29" s="44" t="s">
        <v>489</v>
      </c>
      <c r="D29" s="44"/>
      <c r="F29" s="16"/>
      <c r="G29" s="89"/>
      <c r="H29" s="16" t="s">
        <v>156</v>
      </c>
      <c r="I29" s="89"/>
    </row>
    <row r="30" ht="15.75" customHeight="1">
      <c r="A30" s="61"/>
      <c r="B30" s="112">
        <v>19.0</v>
      </c>
      <c r="C30" s="44" t="s">
        <v>490</v>
      </c>
      <c r="D30" s="44"/>
      <c r="F30" s="16"/>
      <c r="G30" s="89"/>
      <c r="H30" s="16" t="s">
        <v>156</v>
      </c>
      <c r="I30" s="89"/>
    </row>
    <row r="31" ht="15.75" customHeight="1">
      <c r="A31" s="61"/>
      <c r="B31" s="112">
        <v>20.0</v>
      </c>
      <c r="C31" s="44" t="s">
        <v>491</v>
      </c>
      <c r="D31" s="44"/>
      <c r="F31" s="16" t="s">
        <v>323</v>
      </c>
      <c r="G31" s="16"/>
      <c r="H31" s="16"/>
      <c r="I31" s="44"/>
    </row>
    <row r="32" ht="18.75" customHeight="1">
      <c r="A32" s="61"/>
      <c r="B32" s="112">
        <v>21.0</v>
      </c>
      <c r="C32" s="44" t="s">
        <v>492</v>
      </c>
      <c r="D32" s="44"/>
      <c r="F32" s="16"/>
      <c r="G32" s="16"/>
      <c r="H32" s="16" t="s">
        <v>156</v>
      </c>
      <c r="I32" s="44"/>
    </row>
    <row r="33" ht="15.75" customHeight="1">
      <c r="B33" s="112">
        <v>22.0</v>
      </c>
      <c r="C33" s="44" t="s">
        <v>493</v>
      </c>
      <c r="D33" s="44"/>
      <c r="F33" s="16"/>
      <c r="G33" s="16"/>
      <c r="H33" s="16" t="s">
        <v>156</v>
      </c>
      <c r="I33" s="44"/>
    </row>
    <row r="34" ht="15.75" customHeight="1">
      <c r="B34" s="112">
        <v>23.0</v>
      </c>
      <c r="C34" s="44" t="s">
        <v>494</v>
      </c>
      <c r="D34" s="44"/>
      <c r="F34" s="16"/>
      <c r="G34" s="16"/>
      <c r="H34" s="16" t="s">
        <v>156</v>
      </c>
      <c r="I34" s="44"/>
    </row>
    <row r="35" ht="15.75" customHeight="1">
      <c r="B35" s="112">
        <v>24.0</v>
      </c>
      <c r="C35" s="44" t="s">
        <v>495</v>
      </c>
      <c r="D35" s="44"/>
      <c r="F35" s="16"/>
      <c r="G35" s="16"/>
      <c r="H35" s="16" t="s">
        <v>156</v>
      </c>
      <c r="I35" s="44"/>
    </row>
    <row r="36" ht="15.75" customHeight="1">
      <c r="B36" s="112">
        <v>25.0</v>
      </c>
      <c r="C36" s="114" t="s">
        <v>496</v>
      </c>
      <c r="D36" s="6"/>
      <c r="F36" s="16"/>
      <c r="G36" s="16"/>
      <c r="H36" s="16" t="s">
        <v>156</v>
      </c>
      <c r="I36" s="44"/>
    </row>
    <row r="37" ht="15.75" customHeight="1">
      <c r="B37" s="112">
        <v>26.0</v>
      </c>
      <c r="C37" s="44" t="s">
        <v>497</v>
      </c>
      <c r="D37" s="44"/>
      <c r="E37" s="83"/>
      <c r="F37" s="16" t="s">
        <v>323</v>
      </c>
      <c r="G37" s="16"/>
      <c r="H37" s="16"/>
      <c r="I37" s="44"/>
    </row>
    <row r="38" ht="15.75" customHeight="1">
      <c r="B38" s="112">
        <v>27.0</v>
      </c>
      <c r="C38" s="44" t="s">
        <v>498</v>
      </c>
      <c r="D38" s="44"/>
      <c r="E38" s="83"/>
      <c r="F38" s="16"/>
      <c r="G38" s="16"/>
      <c r="H38" s="16" t="s">
        <v>156</v>
      </c>
      <c r="I38" s="44"/>
    </row>
    <row r="39" ht="15.75" customHeight="1">
      <c r="B39" s="112">
        <v>28.0</v>
      </c>
      <c r="C39" s="44" t="s">
        <v>499</v>
      </c>
      <c r="D39" s="44"/>
      <c r="E39" s="83"/>
      <c r="F39" s="16"/>
      <c r="G39" s="16"/>
      <c r="H39" s="16" t="s">
        <v>156</v>
      </c>
      <c r="I39" s="44"/>
    </row>
    <row r="40" ht="15.75" customHeight="1">
      <c r="B40" s="112">
        <v>29.0</v>
      </c>
      <c r="C40" s="44" t="s">
        <v>500</v>
      </c>
      <c r="D40" s="44"/>
      <c r="E40" s="83"/>
      <c r="F40" s="16"/>
      <c r="G40" s="16"/>
      <c r="H40" s="16" t="s">
        <v>156</v>
      </c>
      <c r="I40" s="44"/>
    </row>
    <row r="41" ht="15.75" customHeight="1">
      <c r="B41" s="112">
        <v>30.0</v>
      </c>
      <c r="C41" s="44" t="s">
        <v>501</v>
      </c>
      <c r="D41" s="44"/>
      <c r="E41" s="83"/>
      <c r="F41" s="16"/>
      <c r="G41" s="16"/>
      <c r="H41" s="16" t="s">
        <v>156</v>
      </c>
      <c r="I41" s="44"/>
    </row>
    <row r="42" ht="15.75" customHeight="1">
      <c r="B42" s="112">
        <v>31.0</v>
      </c>
      <c r="C42" s="44" t="s">
        <v>502</v>
      </c>
      <c r="D42" s="44"/>
      <c r="F42" s="16"/>
      <c r="G42" s="16"/>
      <c r="H42" s="16" t="s">
        <v>156</v>
      </c>
      <c r="I42" s="44"/>
    </row>
    <row r="43" ht="15.75" customHeight="1">
      <c r="B43" s="112">
        <v>32.0</v>
      </c>
      <c r="C43" s="44" t="s">
        <v>503</v>
      </c>
      <c r="D43" s="44"/>
      <c r="F43" s="16"/>
      <c r="G43" s="16"/>
      <c r="H43" s="16" t="s">
        <v>156</v>
      </c>
      <c r="I43" s="44"/>
    </row>
    <row r="44" ht="15.75" customHeight="1">
      <c r="B44" s="112">
        <v>33.0</v>
      </c>
      <c r="C44" s="44" t="s">
        <v>504</v>
      </c>
      <c r="D44" s="44"/>
      <c r="F44" s="16"/>
      <c r="G44" s="16"/>
      <c r="H44" s="16" t="s">
        <v>156</v>
      </c>
      <c r="I44" s="44"/>
    </row>
    <row r="45" ht="15.75" customHeight="1">
      <c r="B45" s="112">
        <v>34.0</v>
      </c>
      <c r="C45" s="44" t="s">
        <v>505</v>
      </c>
      <c r="D45" s="44"/>
      <c r="E45" s="83"/>
      <c r="F45" s="16" t="s">
        <v>323</v>
      </c>
      <c r="G45" s="16"/>
      <c r="H45" s="16"/>
      <c r="I45" s="44"/>
    </row>
    <row r="46" ht="15.75" customHeight="1">
      <c r="B46" s="112">
        <v>35.0</v>
      </c>
      <c r="C46" s="44" t="s">
        <v>506</v>
      </c>
      <c r="D46" s="44"/>
      <c r="E46" s="83"/>
      <c r="F46" s="16"/>
      <c r="G46" s="16"/>
      <c r="H46" s="16" t="s">
        <v>156</v>
      </c>
      <c r="I46" s="44"/>
    </row>
    <row r="47" ht="15.75" customHeight="1">
      <c r="B47" s="112">
        <v>36.0</v>
      </c>
      <c r="C47" s="44" t="s">
        <v>507</v>
      </c>
      <c r="D47" s="44"/>
      <c r="E47" s="83"/>
      <c r="F47" s="16"/>
      <c r="G47" s="16"/>
      <c r="H47" s="16" t="s">
        <v>156</v>
      </c>
      <c r="I47" s="44"/>
    </row>
    <row r="48" ht="15.75" customHeight="1">
      <c r="B48" s="112">
        <v>37.0</v>
      </c>
      <c r="C48" s="44" t="s">
        <v>508</v>
      </c>
      <c r="D48" s="44"/>
      <c r="E48" s="83"/>
      <c r="F48" s="16"/>
      <c r="G48" s="16"/>
      <c r="H48" s="16" t="s">
        <v>156</v>
      </c>
      <c r="I48" s="44"/>
    </row>
    <row r="49" ht="15.75" customHeight="1">
      <c r="B49" s="112">
        <v>38.0</v>
      </c>
      <c r="C49" s="44" t="s">
        <v>509</v>
      </c>
      <c r="D49" s="44"/>
      <c r="E49" s="83"/>
      <c r="F49" s="16"/>
      <c r="G49" s="16"/>
      <c r="H49" s="16" t="s">
        <v>156</v>
      </c>
      <c r="I49" s="44"/>
    </row>
    <row r="50" ht="15.75" customHeight="1">
      <c r="B50" s="112">
        <v>39.0</v>
      </c>
      <c r="C50" s="44" t="s">
        <v>510</v>
      </c>
      <c r="D50" s="44"/>
      <c r="F50" s="16"/>
      <c r="G50" s="16"/>
      <c r="H50" s="16" t="s">
        <v>156</v>
      </c>
      <c r="I50" s="44"/>
    </row>
    <row r="51" ht="15.75" customHeight="1">
      <c r="B51" s="112">
        <v>40.0</v>
      </c>
      <c r="C51" s="44" t="s">
        <v>511</v>
      </c>
      <c r="D51" s="44"/>
      <c r="F51" s="16"/>
      <c r="G51" s="16"/>
      <c r="H51" s="16" t="s">
        <v>156</v>
      </c>
      <c r="I51" s="44"/>
    </row>
    <row r="52" ht="15.75" customHeight="1">
      <c r="B52" s="112">
        <v>41.0</v>
      </c>
      <c r="C52" s="44" t="s">
        <v>512</v>
      </c>
      <c r="D52" s="44"/>
      <c r="F52" s="16"/>
      <c r="G52" s="16"/>
      <c r="H52" s="16" t="s">
        <v>156</v>
      </c>
      <c r="I52" s="44"/>
    </row>
    <row r="53" ht="15.75" customHeight="1">
      <c r="B53" s="112">
        <v>42.0</v>
      </c>
      <c r="C53" s="44" t="s">
        <v>513</v>
      </c>
      <c r="D53" s="44"/>
      <c r="F53" s="16"/>
      <c r="G53" s="16"/>
      <c r="H53" s="16" t="s">
        <v>156</v>
      </c>
      <c r="I53" s="44"/>
    </row>
    <row r="54" ht="15.75" customHeight="1">
      <c r="B54" s="112">
        <v>43.0</v>
      </c>
      <c r="C54" s="44" t="s">
        <v>514</v>
      </c>
      <c r="D54" s="44"/>
      <c r="F54" s="16"/>
      <c r="G54" s="16"/>
      <c r="H54" s="16" t="s">
        <v>156</v>
      </c>
      <c r="I54" s="44"/>
    </row>
    <row r="55" ht="15.75" customHeight="1">
      <c r="B55" s="112">
        <v>44.0</v>
      </c>
      <c r="C55" s="44" t="s">
        <v>515</v>
      </c>
      <c r="D55" s="44"/>
      <c r="F55" s="16"/>
      <c r="G55" s="16"/>
      <c r="H55" s="16" t="s">
        <v>156</v>
      </c>
      <c r="I55" s="44"/>
    </row>
    <row r="56" ht="15.75" customHeight="1">
      <c r="B56" s="112">
        <v>45.0</v>
      </c>
      <c r="C56" s="44" t="s">
        <v>516</v>
      </c>
      <c r="D56" s="44"/>
      <c r="F56" s="16"/>
      <c r="G56" s="16"/>
      <c r="H56" s="16" t="s">
        <v>156</v>
      </c>
      <c r="I56" s="44"/>
    </row>
    <row r="57" ht="15.75" customHeight="1">
      <c r="B57" s="112">
        <v>46.0</v>
      </c>
      <c r="C57" s="44" t="s">
        <v>517</v>
      </c>
      <c r="D57" s="44"/>
      <c r="F57" s="16"/>
      <c r="G57" s="16"/>
      <c r="H57" s="16" t="s">
        <v>156</v>
      </c>
      <c r="I57" s="44"/>
    </row>
    <row r="58" ht="15.75" customHeight="1">
      <c r="B58" s="112">
        <v>47.0</v>
      </c>
      <c r="C58" s="44" t="s">
        <v>518</v>
      </c>
      <c r="D58" s="44"/>
      <c r="F58" s="104"/>
      <c r="G58" s="105"/>
      <c r="H58" s="16" t="s">
        <v>156</v>
      </c>
      <c r="I58" s="105"/>
    </row>
    <row r="59" ht="15.75" customHeight="1">
      <c r="B59" s="112">
        <v>48.0</v>
      </c>
      <c r="C59" s="44" t="s">
        <v>519</v>
      </c>
      <c r="D59" s="44"/>
      <c r="F59" s="16"/>
      <c r="G59" s="89"/>
      <c r="H59" s="16" t="s">
        <v>156</v>
      </c>
      <c r="I59" s="89"/>
    </row>
    <row r="60" ht="15.75" customHeight="1">
      <c r="B60" s="112">
        <v>49.0</v>
      </c>
      <c r="C60" s="44" t="s">
        <v>520</v>
      </c>
      <c r="D60" s="44"/>
      <c r="F60" s="16"/>
      <c r="G60" s="89"/>
      <c r="H60" s="16" t="s">
        <v>156</v>
      </c>
      <c r="I60" s="89"/>
    </row>
    <row r="61" ht="15.75" customHeight="1">
      <c r="B61" s="112">
        <v>50.0</v>
      </c>
      <c r="C61" s="44" t="s">
        <v>521</v>
      </c>
      <c r="D61" s="44"/>
      <c r="F61" s="16"/>
      <c r="G61" s="89"/>
      <c r="H61" s="16" t="s">
        <v>156</v>
      </c>
      <c r="I61" s="89"/>
    </row>
    <row r="62" ht="15.75" customHeight="1">
      <c r="B62" s="112">
        <v>51.0</v>
      </c>
      <c r="C62" s="44" t="s">
        <v>522</v>
      </c>
      <c r="D62" s="44"/>
      <c r="F62" s="16"/>
      <c r="G62" s="89"/>
      <c r="H62" s="16" t="s">
        <v>156</v>
      </c>
      <c r="I62" s="89"/>
    </row>
    <row r="63" ht="15.75" customHeight="1">
      <c r="B63" s="112">
        <v>52.0</v>
      </c>
      <c r="C63" s="44" t="s">
        <v>523</v>
      </c>
      <c r="D63" s="44"/>
      <c r="F63" s="16"/>
      <c r="G63" s="89"/>
      <c r="H63" s="16" t="s">
        <v>156</v>
      </c>
      <c r="I63" s="89"/>
    </row>
    <row r="64" ht="15.75" customHeight="1">
      <c r="B64" s="112">
        <v>53.0</v>
      </c>
      <c r="C64" s="44" t="s">
        <v>524</v>
      </c>
      <c r="D64" s="44"/>
      <c r="F64" s="16" t="s">
        <v>323</v>
      </c>
      <c r="G64" s="16"/>
      <c r="H64" s="16"/>
      <c r="I64" s="44"/>
    </row>
    <row r="65" ht="15.75" customHeight="1">
      <c r="B65" s="112">
        <v>54.0</v>
      </c>
      <c r="C65" s="44" t="s">
        <v>525</v>
      </c>
      <c r="D65" s="44"/>
      <c r="E65" s="83"/>
      <c r="F65" s="16" t="s">
        <v>323</v>
      </c>
      <c r="G65" s="16"/>
      <c r="H65" s="16"/>
      <c r="I65" s="44"/>
    </row>
    <row r="66" ht="15.75" customHeight="1">
      <c r="B66" s="112">
        <v>55.0</v>
      </c>
      <c r="C66" s="44" t="s">
        <v>526</v>
      </c>
      <c r="D66" s="44"/>
      <c r="E66" s="83"/>
      <c r="F66" s="16"/>
      <c r="G66" s="16"/>
      <c r="H66" s="16" t="s">
        <v>156</v>
      </c>
      <c r="I66" s="44"/>
    </row>
    <row r="67" ht="15.75" customHeight="1">
      <c r="B67" s="112">
        <v>56.0</v>
      </c>
      <c r="C67" s="44" t="s">
        <v>527</v>
      </c>
      <c r="D67" s="44"/>
      <c r="E67" s="83"/>
      <c r="F67" s="16"/>
      <c r="G67" s="16"/>
      <c r="H67" s="16" t="s">
        <v>156</v>
      </c>
      <c r="I67" s="44"/>
    </row>
    <row r="68" ht="15.75" customHeight="1">
      <c r="B68" s="112">
        <v>57.0</v>
      </c>
      <c r="C68" s="44" t="s">
        <v>528</v>
      </c>
      <c r="D68" s="44"/>
      <c r="E68" s="83"/>
      <c r="F68" s="16"/>
      <c r="G68" s="16"/>
      <c r="H68" s="16" t="s">
        <v>156</v>
      </c>
      <c r="I68" s="44"/>
    </row>
    <row r="69" ht="15.75" customHeight="1">
      <c r="B69" s="112">
        <v>58.0</v>
      </c>
      <c r="C69" s="44" t="s">
        <v>529</v>
      </c>
      <c r="D69" s="44"/>
      <c r="E69" s="83"/>
      <c r="F69" s="16"/>
      <c r="G69" s="16"/>
      <c r="H69" s="16" t="s">
        <v>156</v>
      </c>
      <c r="I69" s="44"/>
    </row>
    <row r="70" ht="15.75" customHeight="1">
      <c r="B70" s="112">
        <v>59.0</v>
      </c>
      <c r="C70" s="44" t="s">
        <v>530</v>
      </c>
      <c r="D70" s="44"/>
      <c r="F70" s="16"/>
      <c r="G70" s="16"/>
      <c r="H70" s="16" t="s">
        <v>156</v>
      </c>
      <c r="I70" s="44"/>
    </row>
    <row r="71" ht="15.75" customHeight="1">
      <c r="B71" s="112">
        <v>60.0</v>
      </c>
      <c r="C71" s="44" t="s">
        <v>531</v>
      </c>
      <c r="D71" s="44"/>
      <c r="F71" s="16"/>
      <c r="G71" s="16"/>
      <c r="H71" s="16" t="s">
        <v>156</v>
      </c>
      <c r="I71" s="44"/>
    </row>
    <row r="72" ht="15.75" customHeight="1">
      <c r="B72" s="112">
        <v>61.0</v>
      </c>
      <c r="C72" s="44" t="s">
        <v>532</v>
      </c>
      <c r="D72" s="44"/>
      <c r="F72" s="16"/>
      <c r="G72" s="16"/>
      <c r="H72" s="16" t="s">
        <v>156</v>
      </c>
      <c r="I72" s="44"/>
    </row>
    <row r="73" ht="15.75" customHeight="1">
      <c r="B73" s="112">
        <v>62.0</v>
      </c>
      <c r="C73" s="44" t="s">
        <v>533</v>
      </c>
      <c r="D73" s="44"/>
      <c r="F73" s="16"/>
      <c r="G73" s="16"/>
      <c r="H73" s="16" t="s">
        <v>156</v>
      </c>
      <c r="I73" s="44"/>
    </row>
    <row r="74" ht="15.75" customHeight="1">
      <c r="B74" s="112">
        <v>63.0</v>
      </c>
      <c r="C74" s="44" t="s">
        <v>534</v>
      </c>
      <c r="D74" s="44"/>
      <c r="F74" s="16"/>
      <c r="G74" s="16"/>
      <c r="H74" s="16" t="s">
        <v>156</v>
      </c>
      <c r="I74" s="44"/>
    </row>
    <row r="75" ht="15.75" customHeight="1">
      <c r="B75" s="112">
        <v>64.0</v>
      </c>
      <c r="C75" s="44" t="s">
        <v>535</v>
      </c>
      <c r="D75" s="44"/>
      <c r="F75" s="16"/>
      <c r="G75" s="16"/>
      <c r="H75" s="16" t="s">
        <v>156</v>
      </c>
      <c r="I75" s="44"/>
    </row>
    <row r="76" ht="15.75" customHeight="1">
      <c r="B76" s="112">
        <v>65.0</v>
      </c>
      <c r="C76" s="44" t="s">
        <v>536</v>
      </c>
      <c r="D76" s="44"/>
      <c r="F76" s="16"/>
      <c r="G76" s="16"/>
      <c r="H76" s="16" t="s">
        <v>156</v>
      </c>
      <c r="I76" s="44"/>
    </row>
    <row r="77" ht="15.75" customHeight="1">
      <c r="B77" s="112">
        <v>66.0</v>
      </c>
      <c r="C77" s="44" t="s">
        <v>537</v>
      </c>
      <c r="D77" s="44"/>
      <c r="F77" s="16"/>
      <c r="G77" s="16"/>
      <c r="H77" s="16" t="s">
        <v>156</v>
      </c>
      <c r="I77" s="44"/>
    </row>
    <row r="78" ht="15.75" customHeight="1">
      <c r="B78" s="112">
        <v>67.0</v>
      </c>
      <c r="C78" s="44" t="s">
        <v>538</v>
      </c>
      <c r="D78" s="44"/>
      <c r="F78" s="104"/>
      <c r="G78" s="105"/>
      <c r="H78" s="16" t="s">
        <v>156</v>
      </c>
      <c r="I78" s="105"/>
    </row>
    <row r="79" ht="15.75" customHeight="1">
      <c r="B79" s="112">
        <v>68.0</v>
      </c>
      <c r="C79" s="44" t="s">
        <v>539</v>
      </c>
      <c r="D79" s="44"/>
      <c r="F79" s="16"/>
      <c r="G79" s="89"/>
      <c r="H79" s="16" t="s">
        <v>156</v>
      </c>
      <c r="I79" s="89"/>
    </row>
    <row r="80" ht="15.75" customHeight="1">
      <c r="B80" s="112">
        <v>69.0</v>
      </c>
      <c r="C80" s="44" t="s">
        <v>540</v>
      </c>
      <c r="D80" s="44"/>
      <c r="F80" s="16"/>
      <c r="G80" s="89"/>
      <c r="H80" s="16" t="s">
        <v>156</v>
      </c>
      <c r="I80" s="89"/>
    </row>
    <row r="81" ht="15.75" customHeight="1">
      <c r="B81" s="112">
        <v>70.0</v>
      </c>
      <c r="C81" s="44" t="s">
        <v>541</v>
      </c>
      <c r="D81" s="44"/>
      <c r="F81" s="16"/>
      <c r="G81" s="89"/>
      <c r="H81" s="16" t="s">
        <v>156</v>
      </c>
      <c r="I81" s="89"/>
    </row>
    <row r="82" ht="15.75" customHeight="1">
      <c r="B82" s="112">
        <v>71.0</v>
      </c>
      <c r="C82" s="44" t="s">
        <v>542</v>
      </c>
      <c r="D82" s="44"/>
      <c r="F82" s="16"/>
      <c r="G82" s="89"/>
      <c r="H82" s="16" t="s">
        <v>156</v>
      </c>
      <c r="I82" s="89"/>
    </row>
    <row r="83" ht="15.75" customHeight="1">
      <c r="B83" s="112">
        <v>72.0</v>
      </c>
      <c r="C83" s="44" t="s">
        <v>543</v>
      </c>
      <c r="D83" s="44"/>
      <c r="F83" s="16"/>
      <c r="G83" s="89"/>
      <c r="H83" s="16" t="s">
        <v>156</v>
      </c>
      <c r="I83" s="89"/>
    </row>
    <row r="84" ht="15.75" customHeight="1">
      <c r="B84" s="112">
        <v>73.0</v>
      </c>
      <c r="C84" s="44" t="s">
        <v>544</v>
      </c>
      <c r="D84" s="44"/>
      <c r="F84" s="16" t="s">
        <v>323</v>
      </c>
      <c r="G84" s="16"/>
      <c r="H84" s="16"/>
      <c r="I84" s="44"/>
    </row>
    <row r="85" ht="15.75" customHeight="1">
      <c r="B85" s="112">
        <v>74.0</v>
      </c>
      <c r="C85" s="44" t="s">
        <v>545</v>
      </c>
      <c r="D85" s="44"/>
      <c r="F85" s="16"/>
      <c r="G85" s="16"/>
      <c r="H85" s="16" t="s">
        <v>156</v>
      </c>
      <c r="I85" s="44"/>
    </row>
    <row r="86" ht="15.75" customHeight="1">
      <c r="B86" s="112">
        <v>75.0</v>
      </c>
      <c r="C86" s="44" t="s">
        <v>546</v>
      </c>
      <c r="D86" s="44"/>
      <c r="F86" s="16"/>
      <c r="G86" s="16"/>
      <c r="H86" s="16" t="s">
        <v>156</v>
      </c>
      <c r="I86" s="44"/>
    </row>
    <row r="87" ht="15.75" customHeight="1">
      <c r="B87" s="112">
        <v>76.0</v>
      </c>
      <c r="C87" s="44" t="s">
        <v>547</v>
      </c>
      <c r="D87" s="44"/>
      <c r="F87" s="16"/>
      <c r="G87" s="16"/>
      <c r="H87" s="16" t="s">
        <v>156</v>
      </c>
      <c r="I87" s="44"/>
    </row>
    <row r="88" ht="15.75" customHeight="1">
      <c r="B88" s="112">
        <v>77.0</v>
      </c>
      <c r="C88" s="44" t="s">
        <v>548</v>
      </c>
      <c r="D88" s="44"/>
      <c r="F88" s="16"/>
      <c r="G88" s="16"/>
      <c r="H88" s="16" t="s">
        <v>156</v>
      </c>
      <c r="I88" s="44"/>
    </row>
    <row r="89" ht="15.75" customHeight="1">
      <c r="B89" s="112">
        <v>78.0</v>
      </c>
      <c r="C89" s="44" t="s">
        <v>549</v>
      </c>
      <c r="D89" s="44"/>
      <c r="F89" s="16"/>
      <c r="G89" s="16"/>
      <c r="H89" s="16" t="s">
        <v>156</v>
      </c>
      <c r="I89" s="44"/>
    </row>
    <row r="90" ht="15.75" customHeight="1">
      <c r="B90" s="112">
        <v>79.0</v>
      </c>
      <c r="C90" s="44" t="s">
        <v>550</v>
      </c>
      <c r="D90" s="44"/>
      <c r="E90" s="83"/>
      <c r="F90" s="16" t="s">
        <v>323</v>
      </c>
      <c r="G90" s="16"/>
      <c r="H90" s="16"/>
      <c r="I90" s="44"/>
    </row>
    <row r="91" ht="15.75" customHeight="1">
      <c r="B91" s="112">
        <v>80.0</v>
      </c>
      <c r="C91" s="44" t="s">
        <v>551</v>
      </c>
      <c r="D91" s="44"/>
      <c r="E91" s="83"/>
      <c r="F91" s="16"/>
      <c r="G91" s="16"/>
      <c r="H91" s="16" t="s">
        <v>156</v>
      </c>
      <c r="I91" s="44"/>
    </row>
    <row r="92" ht="15.75" customHeight="1">
      <c r="B92" s="112">
        <v>81.0</v>
      </c>
      <c r="C92" s="44" t="s">
        <v>552</v>
      </c>
      <c r="D92" s="44"/>
      <c r="E92" s="83"/>
      <c r="F92" s="16"/>
      <c r="G92" s="16"/>
      <c r="H92" s="16" t="s">
        <v>156</v>
      </c>
      <c r="I92" s="44"/>
    </row>
    <row r="93" ht="15.75" customHeight="1">
      <c r="B93" s="112">
        <v>82.0</v>
      </c>
      <c r="C93" s="44" t="s">
        <v>553</v>
      </c>
      <c r="D93" s="44"/>
      <c r="E93" s="83"/>
      <c r="F93" s="16"/>
      <c r="G93" s="16"/>
      <c r="H93" s="16" t="s">
        <v>156</v>
      </c>
      <c r="I93" s="44"/>
    </row>
    <row r="94" ht="15.75" customHeight="1">
      <c r="B94" s="112">
        <v>83.0</v>
      </c>
      <c r="C94" s="44" t="s">
        <v>554</v>
      </c>
      <c r="D94" s="44"/>
      <c r="E94" s="83"/>
      <c r="F94" s="38"/>
      <c r="G94" s="38"/>
      <c r="H94" s="38" t="s">
        <v>156</v>
      </c>
      <c r="I94" s="115"/>
    </row>
    <row r="95" ht="15.75" customHeight="1">
      <c r="B95" s="112">
        <v>84.0</v>
      </c>
      <c r="C95" s="44" t="s">
        <v>555</v>
      </c>
      <c r="D95" s="44"/>
      <c r="F95" s="44"/>
      <c r="G95" s="44"/>
      <c r="H95" s="44"/>
      <c r="I95" s="44"/>
    </row>
    <row r="96" ht="15.75" customHeight="1">
      <c r="B96" s="112">
        <v>85.0</v>
      </c>
      <c r="C96" s="44" t="s">
        <v>556</v>
      </c>
      <c r="D96" s="44"/>
      <c r="F96" s="44"/>
      <c r="G96" s="44"/>
      <c r="H96" s="44"/>
      <c r="I96" s="44"/>
    </row>
    <row r="97" ht="15.75" customHeight="1">
      <c r="B97" s="112">
        <v>86.0</v>
      </c>
      <c r="C97" s="44" t="s">
        <v>557</v>
      </c>
      <c r="D97" s="44"/>
      <c r="F97" s="44"/>
      <c r="G97" s="44"/>
      <c r="H97" s="44"/>
      <c r="I97" s="44"/>
    </row>
    <row r="98" ht="15.75" customHeight="1">
      <c r="B98" s="112">
        <v>87.0</v>
      </c>
      <c r="C98" s="44" t="s">
        <v>558</v>
      </c>
      <c r="D98" s="44"/>
      <c r="F98" s="44"/>
      <c r="G98" s="44"/>
      <c r="H98" s="44"/>
      <c r="I98" s="44"/>
    </row>
    <row r="99" ht="15.75" customHeight="1">
      <c r="B99" s="112">
        <v>88.0</v>
      </c>
      <c r="C99" s="44" t="s">
        <v>559</v>
      </c>
      <c r="D99" s="44"/>
      <c r="F99" s="44"/>
      <c r="G99" s="44"/>
      <c r="H99" s="44"/>
      <c r="I99" s="44"/>
    </row>
    <row r="100" ht="15.75" customHeight="1">
      <c r="B100" s="112">
        <v>89.0</v>
      </c>
      <c r="C100" s="44" t="s">
        <v>560</v>
      </c>
      <c r="D100" s="44"/>
      <c r="F100" s="44"/>
      <c r="G100" s="44"/>
      <c r="H100" s="44"/>
      <c r="I100" s="4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7:C7"/>
    <mergeCell ref="B10:D10"/>
    <mergeCell ref="C11:D11"/>
    <mergeCell ref="C21:D21"/>
    <mergeCell ref="C36:D36"/>
    <mergeCell ref="B2:I2"/>
    <mergeCell ref="K2:L2"/>
    <mergeCell ref="C4:D4"/>
    <mergeCell ref="C5:D5"/>
    <mergeCell ref="C6:D6"/>
    <mergeCell ref="F9:H9"/>
    <mergeCell ref="I9:I10"/>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D1E3"/>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1">
      <c r="A1" s="116" t="s">
        <v>561</v>
      </c>
    </row>
    <row r="2" ht="21.75" customHeight="1">
      <c r="B2" s="52" t="s">
        <v>141</v>
      </c>
      <c r="C2" s="53"/>
      <c r="D2" s="53"/>
      <c r="E2" s="53"/>
      <c r="F2" s="53"/>
      <c r="G2" s="53"/>
      <c r="H2" s="53"/>
      <c r="I2" s="54"/>
      <c r="K2" s="117" t="s">
        <v>9</v>
      </c>
      <c r="L2" s="54"/>
    </row>
    <row r="3" ht="15.0" customHeight="1">
      <c r="K3" s="44" t="s">
        <v>142</v>
      </c>
      <c r="L3" s="58">
        <f>COUNT(B12:D100)</f>
        <v>41</v>
      </c>
    </row>
    <row r="4">
      <c r="B4" s="59" t="s">
        <v>143</v>
      </c>
      <c r="C4" s="60" t="s">
        <v>144</v>
      </c>
      <c r="K4" s="44" t="s">
        <v>29</v>
      </c>
      <c r="L4" s="58">
        <f>COUNTIF(F12:F100,"X")</f>
        <v>0</v>
      </c>
    </row>
    <row r="5">
      <c r="B5" s="59" t="s">
        <v>145</v>
      </c>
      <c r="C5" s="60" t="s">
        <v>146</v>
      </c>
      <c r="K5" s="44" t="s">
        <v>149</v>
      </c>
      <c r="L5" s="58" t="str">
        <f>_xludf.PERCENTOF(L4,L3)</f>
        <v>#NAME?</v>
      </c>
    </row>
    <row r="6">
      <c r="B6" s="59" t="s">
        <v>147</v>
      </c>
      <c r="C6" s="60" t="s">
        <v>148</v>
      </c>
    </row>
    <row r="7">
      <c r="B7" s="64" t="s">
        <v>150</v>
      </c>
      <c r="D7" s="60" t="s">
        <v>151</v>
      </c>
    </row>
    <row r="8">
      <c r="B8" s="64"/>
      <c r="C8" s="64"/>
      <c r="D8" s="60"/>
    </row>
    <row r="9" ht="16.5" customHeight="1">
      <c r="B9" s="118"/>
      <c r="E9" s="119"/>
      <c r="F9" s="119"/>
      <c r="G9" s="119"/>
      <c r="H9" s="119"/>
      <c r="I9" s="119"/>
    </row>
    <row r="10" ht="21.0" customHeight="1">
      <c r="F10" s="65" t="s">
        <v>152</v>
      </c>
      <c r="G10" s="66"/>
      <c r="H10" s="67"/>
      <c r="I10" s="68" t="s">
        <v>562</v>
      </c>
    </row>
    <row r="11" ht="20.25" customHeight="1">
      <c r="B11" s="117" t="s">
        <v>563</v>
      </c>
      <c r="C11" s="53"/>
      <c r="D11" s="54"/>
      <c r="E11" s="71"/>
      <c r="F11" s="72" t="s">
        <v>143</v>
      </c>
      <c r="G11" s="73" t="s">
        <v>145</v>
      </c>
      <c r="H11" s="73" t="s">
        <v>147</v>
      </c>
      <c r="I11" s="74"/>
      <c r="J11" s="75"/>
    </row>
    <row r="12" ht="11.25" customHeight="1">
      <c r="C12" s="61"/>
      <c r="F12" s="120"/>
      <c r="G12" s="120"/>
      <c r="H12" s="120"/>
      <c r="I12" s="120"/>
    </row>
    <row r="13">
      <c r="B13" s="121">
        <v>1.0</v>
      </c>
      <c r="C13" s="122" t="s">
        <v>564</v>
      </c>
      <c r="D13" s="123"/>
      <c r="E13" s="83"/>
      <c r="F13" s="124"/>
      <c r="G13" s="124"/>
      <c r="H13" s="125" t="s">
        <v>156</v>
      </c>
      <c r="I13" s="126"/>
    </row>
    <row r="14">
      <c r="B14" s="127">
        <v>2.0</v>
      </c>
      <c r="C14" s="122" t="s">
        <v>318</v>
      </c>
      <c r="D14" s="123"/>
      <c r="E14" s="128"/>
      <c r="F14" s="124"/>
      <c r="G14" s="124"/>
      <c r="H14" s="125" t="s">
        <v>156</v>
      </c>
      <c r="I14" s="126"/>
    </row>
    <row r="15">
      <c r="B15" s="127">
        <v>3.0</v>
      </c>
      <c r="C15" s="129" t="s">
        <v>565</v>
      </c>
      <c r="D15" s="123"/>
      <c r="E15" s="83"/>
      <c r="F15" s="124"/>
      <c r="G15" s="124"/>
      <c r="H15" s="125" t="s">
        <v>156</v>
      </c>
      <c r="I15" s="126"/>
    </row>
    <row r="16">
      <c r="B16" s="127">
        <v>4.0</v>
      </c>
      <c r="C16" s="130" t="s">
        <v>566</v>
      </c>
      <c r="D16" s="123"/>
      <c r="E16" s="83"/>
      <c r="F16" s="124"/>
      <c r="G16" s="124"/>
      <c r="H16" s="125" t="s">
        <v>156</v>
      </c>
      <c r="I16" s="126"/>
    </row>
    <row r="17">
      <c r="B17" s="127">
        <v>5.0</v>
      </c>
      <c r="C17" s="130" t="s">
        <v>567</v>
      </c>
      <c r="D17" s="123"/>
      <c r="E17" s="83"/>
      <c r="F17" s="124"/>
      <c r="G17" s="124"/>
      <c r="H17" s="125" t="s">
        <v>156</v>
      </c>
      <c r="I17" s="126"/>
    </row>
    <row r="18">
      <c r="B18" s="127">
        <v>6.0</v>
      </c>
      <c r="C18" s="130" t="s">
        <v>568</v>
      </c>
      <c r="D18" s="123"/>
      <c r="E18" s="83"/>
      <c r="F18" s="124"/>
      <c r="G18" s="124"/>
      <c r="H18" s="125" t="s">
        <v>156</v>
      </c>
      <c r="I18" s="126"/>
    </row>
    <row r="19">
      <c r="B19" s="127">
        <v>7.0</v>
      </c>
      <c r="C19" s="122" t="s">
        <v>569</v>
      </c>
      <c r="D19" s="123"/>
      <c r="E19" s="83"/>
      <c r="F19" s="124"/>
      <c r="G19" s="124"/>
      <c r="H19" s="125" t="s">
        <v>156</v>
      </c>
      <c r="I19" s="126"/>
    </row>
    <row r="20">
      <c r="B20" s="127">
        <v>8.0</v>
      </c>
      <c r="C20" s="122" t="s">
        <v>570</v>
      </c>
      <c r="D20" s="123"/>
      <c r="F20" s="124"/>
      <c r="G20" s="124"/>
      <c r="H20" s="125" t="s">
        <v>156</v>
      </c>
      <c r="I20" s="126"/>
    </row>
    <row r="21" ht="15.75" customHeight="1">
      <c r="B21" s="127">
        <v>9.0</v>
      </c>
      <c r="C21" s="129" t="s">
        <v>571</v>
      </c>
      <c r="D21" s="123"/>
      <c r="F21" s="124"/>
      <c r="G21" s="124"/>
      <c r="H21" s="125" t="s">
        <v>156</v>
      </c>
      <c r="I21" s="126"/>
    </row>
    <row r="22" ht="15.75" customHeight="1">
      <c r="B22" s="127">
        <v>10.0</v>
      </c>
      <c r="C22" s="122" t="s">
        <v>572</v>
      </c>
      <c r="D22" s="123"/>
      <c r="F22" s="131"/>
      <c r="G22" s="131"/>
      <c r="H22" s="132" t="s">
        <v>156</v>
      </c>
      <c r="I22" s="133"/>
    </row>
    <row r="23" ht="15.75" customHeight="1">
      <c r="B23" s="121">
        <v>11.0</v>
      </c>
      <c r="C23" s="122" t="s">
        <v>573</v>
      </c>
      <c r="D23" s="123"/>
      <c r="F23" s="44"/>
      <c r="G23" s="44"/>
      <c r="H23" s="44"/>
      <c r="I23" s="44"/>
    </row>
    <row r="24" ht="15.75" customHeight="1">
      <c r="B24" s="127">
        <v>12.0</v>
      </c>
      <c r="C24" s="122" t="s">
        <v>574</v>
      </c>
      <c r="D24" s="123"/>
      <c r="F24" s="44"/>
      <c r="G24" s="44"/>
      <c r="H24" s="44"/>
      <c r="I24" s="44"/>
    </row>
    <row r="25" ht="15.75" customHeight="1">
      <c r="B25" s="127">
        <v>13.0</v>
      </c>
      <c r="C25" s="129" t="s">
        <v>575</v>
      </c>
      <c r="D25" s="123"/>
      <c r="F25" s="44"/>
      <c r="G25" s="44"/>
      <c r="H25" s="44"/>
      <c r="I25" s="44"/>
    </row>
    <row r="26" ht="15.75" customHeight="1">
      <c r="B26" s="127">
        <v>14.0</v>
      </c>
      <c r="C26" s="130" t="s">
        <v>576</v>
      </c>
      <c r="D26" s="123"/>
      <c r="F26" s="44"/>
      <c r="G26" s="44"/>
      <c r="H26" s="44"/>
      <c r="I26" s="44"/>
    </row>
    <row r="27" ht="15.75" customHeight="1">
      <c r="B27" s="127">
        <v>15.0</v>
      </c>
      <c r="C27" s="130" t="s">
        <v>577</v>
      </c>
      <c r="D27" s="123"/>
      <c r="F27" s="44"/>
      <c r="G27" s="44"/>
      <c r="H27" s="44"/>
      <c r="I27" s="44"/>
    </row>
    <row r="28" ht="15.75" customHeight="1">
      <c r="B28" s="127">
        <v>16.0</v>
      </c>
      <c r="C28" s="130" t="s">
        <v>578</v>
      </c>
      <c r="D28" s="123"/>
      <c r="F28" s="44"/>
      <c r="G28" s="44"/>
      <c r="H28" s="44"/>
      <c r="I28" s="44"/>
    </row>
    <row r="29" ht="15.75" customHeight="1">
      <c r="B29" s="127">
        <v>17.0</v>
      </c>
      <c r="C29" s="122" t="s">
        <v>579</v>
      </c>
      <c r="D29" s="123"/>
      <c r="F29" s="44"/>
      <c r="G29" s="44"/>
      <c r="H29" s="44"/>
      <c r="I29" s="44"/>
    </row>
    <row r="30" ht="15.75" customHeight="1">
      <c r="B30" s="121">
        <v>18.0</v>
      </c>
      <c r="C30" s="122" t="s">
        <v>580</v>
      </c>
      <c r="D30" s="123"/>
      <c r="F30" s="44"/>
      <c r="G30" s="44"/>
      <c r="H30" s="44"/>
      <c r="I30" s="44"/>
    </row>
    <row r="31" ht="15.75" customHeight="1">
      <c r="B31" s="127">
        <v>19.0</v>
      </c>
      <c r="C31" s="122" t="s">
        <v>581</v>
      </c>
      <c r="D31" s="123"/>
      <c r="F31" s="44"/>
      <c r="G31" s="44"/>
      <c r="H31" s="44"/>
      <c r="I31" s="44"/>
    </row>
    <row r="32" ht="15.75" customHeight="1">
      <c r="B32" s="127">
        <v>20.0</v>
      </c>
      <c r="C32" s="129" t="s">
        <v>582</v>
      </c>
      <c r="D32" s="123"/>
      <c r="F32" s="44"/>
      <c r="G32" s="44"/>
      <c r="H32" s="44"/>
      <c r="I32" s="44"/>
    </row>
    <row r="33" ht="15.75" customHeight="1">
      <c r="B33" s="127">
        <v>21.0</v>
      </c>
      <c r="C33" s="130" t="s">
        <v>583</v>
      </c>
      <c r="D33" s="123"/>
      <c r="F33" s="44"/>
      <c r="G33" s="44"/>
      <c r="H33" s="44"/>
      <c r="I33" s="44"/>
    </row>
    <row r="34" ht="15.75" customHeight="1">
      <c r="B34" s="127">
        <v>22.0</v>
      </c>
      <c r="C34" s="130" t="s">
        <v>584</v>
      </c>
      <c r="D34" s="123"/>
      <c r="F34" s="44"/>
      <c r="G34" s="44"/>
      <c r="H34" s="44"/>
      <c r="I34" s="44"/>
    </row>
    <row r="35" ht="15.75" customHeight="1">
      <c r="B35" s="127">
        <v>23.0</v>
      </c>
      <c r="C35" s="130" t="s">
        <v>585</v>
      </c>
      <c r="D35" s="123"/>
      <c r="F35" s="44"/>
      <c r="G35" s="44"/>
      <c r="H35" s="44"/>
      <c r="I35" s="44"/>
    </row>
    <row r="36" ht="15.75" customHeight="1">
      <c r="B36" s="127">
        <v>24.0</v>
      </c>
      <c r="C36" s="122" t="s">
        <v>586</v>
      </c>
      <c r="D36" s="123"/>
      <c r="F36" s="44"/>
      <c r="G36" s="44"/>
      <c r="H36" s="44"/>
      <c r="I36" s="44"/>
    </row>
    <row r="37" ht="15.75" customHeight="1">
      <c r="B37" s="127">
        <v>25.0</v>
      </c>
      <c r="C37" s="122" t="s">
        <v>587</v>
      </c>
      <c r="D37" s="123"/>
      <c r="F37" s="44"/>
      <c r="G37" s="44"/>
      <c r="H37" s="44"/>
      <c r="I37" s="44"/>
    </row>
    <row r="38" ht="15.75" customHeight="1">
      <c r="B38" s="127">
        <v>26.0</v>
      </c>
      <c r="C38" s="129" t="s">
        <v>588</v>
      </c>
      <c r="D38" s="123"/>
      <c r="F38" s="44"/>
      <c r="G38" s="44"/>
      <c r="H38" s="44"/>
      <c r="I38" s="44"/>
    </row>
    <row r="39" ht="15.75" customHeight="1">
      <c r="B39" s="127">
        <v>27.0</v>
      </c>
      <c r="C39" s="122" t="s">
        <v>589</v>
      </c>
      <c r="D39" s="123"/>
      <c r="F39" s="44"/>
      <c r="G39" s="44"/>
      <c r="H39" s="44"/>
      <c r="I39" s="44"/>
    </row>
    <row r="40" ht="15.75" customHeight="1">
      <c r="B40" s="121">
        <v>28.0</v>
      </c>
      <c r="C40" s="122" t="s">
        <v>590</v>
      </c>
      <c r="D40" s="123"/>
      <c r="F40" s="44"/>
      <c r="G40" s="44"/>
      <c r="H40" s="44"/>
      <c r="I40" s="44"/>
    </row>
    <row r="41" ht="15.75" customHeight="1">
      <c r="B41" s="127">
        <v>29.0</v>
      </c>
      <c r="C41" s="122" t="s">
        <v>591</v>
      </c>
      <c r="D41" s="123"/>
      <c r="F41" s="44"/>
      <c r="G41" s="44"/>
      <c r="H41" s="44"/>
      <c r="I41" s="44"/>
    </row>
    <row r="42" ht="15.75" customHeight="1">
      <c r="B42" s="127">
        <v>30.0</v>
      </c>
      <c r="C42" s="129" t="s">
        <v>592</v>
      </c>
      <c r="D42" s="123"/>
      <c r="F42" s="44"/>
      <c r="G42" s="44"/>
      <c r="H42" s="44"/>
      <c r="I42" s="44"/>
    </row>
    <row r="43" ht="15.75" customHeight="1">
      <c r="B43" s="127">
        <v>31.0</v>
      </c>
      <c r="C43" s="130" t="s">
        <v>593</v>
      </c>
      <c r="D43" s="123"/>
      <c r="F43" s="44"/>
      <c r="G43" s="44"/>
      <c r="H43" s="44"/>
      <c r="I43" s="44"/>
    </row>
    <row r="44" ht="15.75" customHeight="1">
      <c r="B44" s="127">
        <v>32.0</v>
      </c>
      <c r="C44" s="130" t="s">
        <v>594</v>
      </c>
      <c r="D44" s="123"/>
      <c r="F44" s="44"/>
      <c r="G44" s="44"/>
      <c r="H44" s="44"/>
      <c r="I44" s="44"/>
    </row>
    <row r="45" ht="15.75" customHeight="1">
      <c r="B45" s="127">
        <v>33.0</v>
      </c>
      <c r="C45" s="130" t="s">
        <v>595</v>
      </c>
      <c r="D45" s="123"/>
      <c r="F45" s="44"/>
      <c r="G45" s="44"/>
      <c r="H45" s="44"/>
      <c r="I45" s="44"/>
    </row>
    <row r="46" ht="15.75" customHeight="1">
      <c r="B46" s="121">
        <v>34.0</v>
      </c>
      <c r="C46" s="122" t="s">
        <v>596</v>
      </c>
      <c r="D46" s="123"/>
      <c r="E46" s="83"/>
      <c r="F46" s="124"/>
      <c r="G46" s="124"/>
      <c r="H46" s="125" t="s">
        <v>156</v>
      </c>
      <c r="I46" s="126"/>
    </row>
    <row r="47" ht="15.75" customHeight="1">
      <c r="B47" s="127">
        <v>35.0</v>
      </c>
      <c r="C47" s="122" t="s">
        <v>597</v>
      </c>
      <c r="D47" s="123"/>
      <c r="E47" s="128"/>
      <c r="F47" s="124"/>
      <c r="G47" s="124"/>
      <c r="H47" s="125" t="s">
        <v>156</v>
      </c>
      <c r="I47" s="126"/>
    </row>
    <row r="48" ht="15.75" customHeight="1">
      <c r="B48" s="127">
        <v>36.0</v>
      </c>
      <c r="C48" s="129" t="s">
        <v>598</v>
      </c>
      <c r="D48" s="123"/>
      <c r="E48" s="83"/>
      <c r="F48" s="124"/>
      <c r="G48" s="124"/>
      <c r="H48" s="125" t="s">
        <v>156</v>
      </c>
      <c r="I48" s="126"/>
    </row>
    <row r="49" ht="15.75" customHeight="1">
      <c r="B49" s="127">
        <v>37.0</v>
      </c>
      <c r="C49" s="130" t="s">
        <v>599</v>
      </c>
      <c r="D49" s="123"/>
      <c r="E49" s="83"/>
      <c r="F49" s="124"/>
      <c r="G49" s="124"/>
      <c r="H49" s="125" t="s">
        <v>156</v>
      </c>
      <c r="I49" s="126"/>
    </row>
    <row r="50" ht="15.75" customHeight="1">
      <c r="B50" s="127">
        <v>38.0</v>
      </c>
      <c r="C50" s="130" t="s">
        <v>600</v>
      </c>
      <c r="D50" s="123"/>
      <c r="E50" s="83"/>
      <c r="F50" s="124"/>
      <c r="G50" s="124"/>
      <c r="H50" s="125" t="s">
        <v>156</v>
      </c>
      <c r="I50" s="126"/>
    </row>
    <row r="51" ht="15.75" customHeight="1">
      <c r="B51" s="127">
        <v>39.0</v>
      </c>
      <c r="C51" s="130" t="s">
        <v>601</v>
      </c>
      <c r="D51" s="123"/>
      <c r="E51" s="83"/>
      <c r="F51" s="124"/>
      <c r="G51" s="124"/>
      <c r="H51" s="125" t="s">
        <v>156</v>
      </c>
      <c r="I51" s="126"/>
    </row>
    <row r="52" ht="15.75" customHeight="1">
      <c r="B52" s="127">
        <v>40.0</v>
      </c>
      <c r="C52" s="122" t="s">
        <v>602</v>
      </c>
      <c r="D52" s="123"/>
      <c r="E52" s="83"/>
      <c r="F52" s="124"/>
      <c r="G52" s="124"/>
      <c r="H52" s="125" t="s">
        <v>156</v>
      </c>
      <c r="I52" s="126"/>
    </row>
    <row r="53" ht="15.75" customHeight="1">
      <c r="B53" s="127">
        <v>41.0</v>
      </c>
      <c r="C53" s="122" t="s">
        <v>603</v>
      </c>
      <c r="D53" s="123"/>
      <c r="F53" s="124"/>
      <c r="G53" s="124"/>
      <c r="H53" s="125" t="s">
        <v>156</v>
      </c>
      <c r="I53" s="126"/>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51:D51"/>
    <mergeCell ref="C52:D52"/>
    <mergeCell ref="C53:D53"/>
    <mergeCell ref="C44:D44"/>
    <mergeCell ref="C45:D45"/>
    <mergeCell ref="C46:D46"/>
    <mergeCell ref="C47:D47"/>
    <mergeCell ref="C48:D48"/>
    <mergeCell ref="C49:D49"/>
    <mergeCell ref="C50:D50"/>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D1E3"/>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2" ht="21.75" customHeight="1">
      <c r="B2" s="52" t="s">
        <v>141</v>
      </c>
      <c r="C2" s="53"/>
      <c r="D2" s="53"/>
      <c r="E2" s="53"/>
      <c r="F2" s="53"/>
      <c r="G2" s="53"/>
      <c r="H2" s="53"/>
      <c r="I2" s="54"/>
      <c r="K2" s="117" t="s">
        <v>9</v>
      </c>
      <c r="L2" s="54"/>
    </row>
    <row r="3" ht="15.0" customHeight="1">
      <c r="K3" s="44" t="s">
        <v>142</v>
      </c>
      <c r="L3" s="58">
        <f>COUNT(B12:D100)</f>
        <v>55</v>
      </c>
    </row>
    <row r="4">
      <c r="B4" s="59" t="s">
        <v>143</v>
      </c>
      <c r="C4" s="60" t="s">
        <v>144</v>
      </c>
      <c r="K4" s="44" t="s">
        <v>29</v>
      </c>
      <c r="L4" s="58">
        <f>COUNTIF(F12:F100,"X")</f>
        <v>0</v>
      </c>
    </row>
    <row r="5">
      <c r="B5" s="59" t="s">
        <v>145</v>
      </c>
      <c r="C5" s="60" t="s">
        <v>146</v>
      </c>
      <c r="K5" s="44" t="s">
        <v>149</v>
      </c>
      <c r="L5" s="58" t="str">
        <f>_xludf.PERCENTOF(L4,L3)</f>
        <v>#NAME?</v>
      </c>
    </row>
    <row r="6">
      <c r="B6" s="59" t="s">
        <v>147</v>
      </c>
      <c r="C6" s="60" t="s">
        <v>148</v>
      </c>
    </row>
    <row r="7">
      <c r="B7" s="64" t="s">
        <v>150</v>
      </c>
      <c r="D7" s="60" t="s">
        <v>151</v>
      </c>
    </row>
    <row r="8">
      <c r="B8" s="64"/>
      <c r="C8" s="64"/>
      <c r="D8" s="60"/>
    </row>
    <row r="9" ht="16.5" customHeight="1">
      <c r="B9" s="118"/>
      <c r="E9" s="119"/>
      <c r="F9" s="119"/>
      <c r="G9" s="119"/>
      <c r="H9" s="119"/>
      <c r="I9" s="119"/>
    </row>
    <row r="10" ht="21.0" customHeight="1">
      <c r="F10" s="65" t="s">
        <v>152</v>
      </c>
      <c r="G10" s="66"/>
      <c r="H10" s="67"/>
      <c r="I10" s="68" t="s">
        <v>562</v>
      </c>
    </row>
    <row r="11" ht="20.25" customHeight="1">
      <c r="B11" s="134" t="s">
        <v>604</v>
      </c>
      <c r="C11" s="53"/>
      <c r="D11" s="54"/>
      <c r="E11" s="71"/>
      <c r="F11" s="72" t="s">
        <v>143</v>
      </c>
      <c r="G11" s="73" t="s">
        <v>145</v>
      </c>
      <c r="H11" s="73" t="s">
        <v>147</v>
      </c>
      <c r="I11" s="74"/>
      <c r="J11" s="75"/>
    </row>
    <row r="12" ht="11.25" customHeight="1">
      <c r="C12" s="61"/>
      <c r="F12" s="120"/>
      <c r="G12" s="120"/>
      <c r="H12" s="120"/>
      <c r="I12" s="120"/>
    </row>
    <row r="13">
      <c r="B13" s="135">
        <v>1.0</v>
      </c>
      <c r="C13" s="136" t="s">
        <v>605</v>
      </c>
      <c r="D13" s="137"/>
      <c r="E13" s="83"/>
      <c r="F13" s="124"/>
      <c r="G13" s="124"/>
      <c r="H13" s="125" t="s">
        <v>156</v>
      </c>
      <c r="I13" s="126"/>
    </row>
    <row r="14">
      <c r="B14" s="135">
        <v>2.0</v>
      </c>
      <c r="C14" s="136" t="s">
        <v>606</v>
      </c>
      <c r="D14" s="138"/>
      <c r="E14" s="128"/>
      <c r="F14" s="124"/>
      <c r="G14" s="124"/>
      <c r="H14" s="125" t="s">
        <v>156</v>
      </c>
      <c r="I14" s="126"/>
    </row>
    <row r="15">
      <c r="B15" s="135">
        <v>3.0</v>
      </c>
      <c r="C15" s="136" t="s">
        <v>607</v>
      </c>
      <c r="D15" s="44"/>
      <c r="E15" s="83"/>
      <c r="F15" s="124"/>
      <c r="G15" s="124"/>
      <c r="H15" s="125" t="s">
        <v>156</v>
      </c>
      <c r="I15" s="126"/>
    </row>
    <row r="16">
      <c r="B16" s="135">
        <v>4.0</v>
      </c>
      <c r="C16" s="136" t="s">
        <v>608</v>
      </c>
      <c r="D16" s="139"/>
      <c r="E16" s="83"/>
      <c r="F16" s="124"/>
      <c r="G16" s="124"/>
      <c r="H16" s="125" t="s">
        <v>156</v>
      </c>
      <c r="I16" s="126"/>
    </row>
    <row r="17">
      <c r="B17" s="135">
        <v>6.0</v>
      </c>
      <c r="C17" s="136" t="s">
        <v>609</v>
      </c>
      <c r="D17" s="139"/>
      <c r="E17" s="83"/>
      <c r="F17" s="124"/>
      <c r="G17" s="124"/>
      <c r="H17" s="125" t="s">
        <v>156</v>
      </c>
      <c r="I17" s="126"/>
    </row>
    <row r="18">
      <c r="B18" s="135">
        <v>7.0</v>
      </c>
      <c r="C18" s="136" t="s">
        <v>610</v>
      </c>
      <c r="D18" s="139"/>
      <c r="E18" s="83"/>
      <c r="F18" s="124"/>
      <c r="G18" s="124"/>
      <c r="H18" s="125" t="s">
        <v>156</v>
      </c>
      <c r="I18" s="126"/>
    </row>
    <row r="19">
      <c r="B19" s="135">
        <v>9.0</v>
      </c>
      <c r="C19" s="136" t="s">
        <v>611</v>
      </c>
      <c r="D19" s="137"/>
      <c r="E19" s="83"/>
      <c r="F19" s="124"/>
      <c r="G19" s="124"/>
      <c r="H19" s="125" t="s">
        <v>156</v>
      </c>
      <c r="I19" s="126"/>
    </row>
    <row r="20">
      <c r="B20" s="135">
        <v>10.0</v>
      </c>
      <c r="C20" s="136" t="s">
        <v>612</v>
      </c>
      <c r="D20" s="137"/>
      <c r="F20" s="124"/>
      <c r="G20" s="124"/>
      <c r="H20" s="125" t="s">
        <v>156</v>
      </c>
      <c r="I20" s="126"/>
    </row>
    <row r="21" ht="15.75" customHeight="1">
      <c r="B21" s="135">
        <v>11.0</v>
      </c>
      <c r="C21" s="136" t="s">
        <v>613</v>
      </c>
      <c r="D21" s="138"/>
      <c r="F21" s="124"/>
      <c r="G21" s="124"/>
      <c r="H21" s="125" t="s">
        <v>156</v>
      </c>
      <c r="I21" s="126"/>
    </row>
    <row r="22" ht="15.75" customHeight="1">
      <c r="B22" s="135">
        <v>12.0</v>
      </c>
      <c r="C22" s="136" t="s">
        <v>614</v>
      </c>
      <c r="D22" s="137"/>
      <c r="F22" s="131"/>
      <c r="G22" s="131"/>
      <c r="H22" s="132" t="s">
        <v>156</v>
      </c>
      <c r="I22" s="133"/>
    </row>
    <row r="23" ht="15.75" customHeight="1">
      <c r="B23" s="135">
        <v>14.0</v>
      </c>
      <c r="C23" s="136" t="s">
        <v>615</v>
      </c>
      <c r="D23" s="137"/>
      <c r="F23" s="44"/>
      <c r="G23" s="44"/>
      <c r="H23" s="44"/>
      <c r="I23" s="44"/>
    </row>
    <row r="24" ht="15.75" customHeight="1">
      <c r="B24" s="135">
        <v>15.0</v>
      </c>
      <c r="C24" s="136" t="s">
        <v>616</v>
      </c>
      <c r="D24" s="137"/>
      <c r="F24" s="44"/>
      <c r="G24" s="44"/>
      <c r="H24" s="44"/>
      <c r="I24" s="44"/>
    </row>
    <row r="25" ht="15.75" customHeight="1">
      <c r="B25" s="135">
        <v>16.0</v>
      </c>
      <c r="C25" s="136" t="s">
        <v>617</v>
      </c>
      <c r="D25" s="138"/>
      <c r="F25" s="44"/>
      <c r="G25" s="44"/>
      <c r="H25" s="44"/>
      <c r="I25" s="44"/>
    </row>
    <row r="26" ht="15.75" customHeight="1">
      <c r="B26" s="135">
        <v>17.0</v>
      </c>
      <c r="C26" s="136" t="s">
        <v>618</v>
      </c>
      <c r="D26" s="139"/>
      <c r="F26" s="44"/>
      <c r="G26" s="44"/>
      <c r="H26" s="44"/>
      <c r="I26" s="44"/>
    </row>
    <row r="27" ht="15.75" customHeight="1">
      <c r="B27" s="135">
        <v>19.0</v>
      </c>
      <c r="C27" s="136" t="s">
        <v>619</v>
      </c>
      <c r="D27" s="139"/>
      <c r="F27" s="44"/>
      <c r="G27" s="44"/>
      <c r="H27" s="44"/>
      <c r="I27" s="44"/>
    </row>
    <row r="28" ht="15.75" customHeight="1">
      <c r="B28" s="135">
        <v>20.0</v>
      </c>
      <c r="C28" s="136" t="s">
        <v>620</v>
      </c>
      <c r="D28" s="139"/>
      <c r="F28" s="44"/>
      <c r="G28" s="44"/>
      <c r="H28" s="44"/>
      <c r="I28" s="44"/>
    </row>
    <row r="29" ht="15.75" customHeight="1">
      <c r="B29" s="135">
        <v>21.0</v>
      </c>
      <c r="C29" s="136" t="s">
        <v>621</v>
      </c>
      <c r="D29" s="137"/>
      <c r="F29" s="44"/>
      <c r="G29" s="44"/>
      <c r="H29" s="44"/>
      <c r="I29" s="44"/>
    </row>
    <row r="30" ht="15.75" customHeight="1">
      <c r="B30" s="135">
        <v>22.0</v>
      </c>
      <c r="C30" s="136" t="s">
        <v>622</v>
      </c>
      <c r="D30" s="137"/>
      <c r="E30" s="83"/>
      <c r="F30" s="124"/>
      <c r="G30" s="124"/>
      <c r="H30" s="125" t="s">
        <v>156</v>
      </c>
      <c r="I30" s="126"/>
    </row>
    <row r="31" ht="15.75" customHeight="1">
      <c r="B31" s="135">
        <v>23.0</v>
      </c>
      <c r="C31" s="136" t="s">
        <v>623</v>
      </c>
      <c r="D31" s="138"/>
      <c r="E31" s="128"/>
      <c r="F31" s="124"/>
      <c r="G31" s="124"/>
      <c r="H31" s="125" t="s">
        <v>156</v>
      </c>
      <c r="I31" s="126"/>
    </row>
    <row r="32" ht="15.75" customHeight="1">
      <c r="B32" s="135">
        <v>24.0</v>
      </c>
      <c r="C32" s="136" t="s">
        <v>624</v>
      </c>
      <c r="D32" s="44"/>
      <c r="E32" s="83"/>
      <c r="F32" s="124"/>
      <c r="G32" s="124"/>
      <c r="H32" s="125" t="s">
        <v>156</v>
      </c>
      <c r="I32" s="126"/>
    </row>
    <row r="33" ht="15.75" customHeight="1">
      <c r="B33" s="135">
        <v>25.0</v>
      </c>
      <c r="C33" s="136" t="s">
        <v>625</v>
      </c>
      <c r="D33" s="140"/>
      <c r="E33" s="83"/>
      <c r="F33" s="124"/>
      <c r="G33" s="124"/>
      <c r="H33" s="125" t="s">
        <v>156</v>
      </c>
      <c r="I33" s="126"/>
    </row>
    <row r="34" ht="15.75" customHeight="1">
      <c r="B34" s="135">
        <v>26.0</v>
      </c>
      <c r="C34" s="136" t="s">
        <v>626</v>
      </c>
      <c r="D34" s="139"/>
      <c r="E34" s="83"/>
      <c r="F34" s="124"/>
      <c r="G34" s="124"/>
      <c r="H34" s="125" t="s">
        <v>156</v>
      </c>
      <c r="I34" s="126"/>
    </row>
    <row r="35" ht="15.75" customHeight="1">
      <c r="B35" s="135">
        <v>27.0</v>
      </c>
      <c r="C35" s="136" t="s">
        <v>627</v>
      </c>
      <c r="D35" s="139"/>
      <c r="E35" s="83"/>
      <c r="F35" s="124"/>
      <c r="G35" s="124"/>
      <c r="H35" s="125" t="s">
        <v>156</v>
      </c>
      <c r="I35" s="126"/>
    </row>
    <row r="36" ht="15.75" customHeight="1">
      <c r="B36" s="135">
        <v>28.0</v>
      </c>
      <c r="C36" s="136" t="s">
        <v>628</v>
      </c>
      <c r="D36" s="137"/>
      <c r="E36" s="83"/>
      <c r="F36" s="124"/>
      <c r="G36" s="124"/>
      <c r="H36" s="125" t="s">
        <v>156</v>
      </c>
      <c r="I36" s="126"/>
    </row>
    <row r="37" ht="15.75" customHeight="1">
      <c r="B37" s="135">
        <v>29.0</v>
      </c>
      <c r="C37" s="136" t="s">
        <v>629</v>
      </c>
      <c r="D37" s="137"/>
      <c r="F37" s="124"/>
      <c r="G37" s="124"/>
      <c r="H37" s="125" t="s">
        <v>156</v>
      </c>
      <c r="I37" s="126"/>
    </row>
    <row r="38" ht="15.75" customHeight="1">
      <c r="B38" s="135">
        <v>30.0</v>
      </c>
      <c r="C38" s="136" t="s">
        <v>630</v>
      </c>
      <c r="D38" s="138"/>
      <c r="F38" s="124"/>
      <c r="G38" s="124"/>
      <c r="H38" s="125" t="s">
        <v>156</v>
      </c>
      <c r="I38" s="126"/>
    </row>
    <row r="39" ht="15.75" customHeight="1">
      <c r="B39" s="135">
        <v>31.0</v>
      </c>
      <c r="C39" s="136" t="s">
        <v>631</v>
      </c>
      <c r="D39" s="137"/>
      <c r="F39" s="131"/>
      <c r="G39" s="131"/>
      <c r="H39" s="132" t="s">
        <v>156</v>
      </c>
      <c r="I39" s="133"/>
    </row>
    <row r="40" ht="15.75" customHeight="1">
      <c r="B40" s="135">
        <v>32.0</v>
      </c>
      <c r="C40" s="136" t="s">
        <v>632</v>
      </c>
      <c r="D40" s="137"/>
      <c r="F40" s="44"/>
      <c r="G40" s="44"/>
      <c r="H40" s="44"/>
      <c r="I40" s="44"/>
    </row>
    <row r="41" ht="15.75" customHeight="1">
      <c r="B41" s="135">
        <v>33.0</v>
      </c>
      <c r="C41" s="136" t="s">
        <v>633</v>
      </c>
      <c r="D41" s="137"/>
      <c r="F41" s="44"/>
      <c r="G41" s="44"/>
      <c r="H41" s="44"/>
      <c r="I41" s="44"/>
    </row>
    <row r="42" ht="15.75" customHeight="1">
      <c r="B42" s="135">
        <v>34.0</v>
      </c>
      <c r="C42" s="136" t="s">
        <v>634</v>
      </c>
      <c r="D42" s="138"/>
      <c r="F42" s="44"/>
      <c r="G42" s="44"/>
      <c r="H42" s="44"/>
      <c r="I42" s="44"/>
    </row>
    <row r="43" ht="15.75" customHeight="1">
      <c r="B43" s="135">
        <v>35.0</v>
      </c>
      <c r="C43" s="136" t="s">
        <v>635</v>
      </c>
      <c r="D43" s="139"/>
      <c r="F43" s="44"/>
      <c r="G43" s="44"/>
      <c r="H43" s="44"/>
      <c r="I43" s="44"/>
    </row>
    <row r="44" ht="15.75" customHeight="1">
      <c r="B44" s="135">
        <v>36.0</v>
      </c>
      <c r="C44" s="136" t="s">
        <v>636</v>
      </c>
      <c r="D44" s="139"/>
      <c r="F44" s="44"/>
      <c r="G44" s="44"/>
      <c r="H44" s="44"/>
      <c r="I44" s="44"/>
    </row>
    <row r="45" ht="15.75" customHeight="1">
      <c r="B45" s="135">
        <v>37.0</v>
      </c>
      <c r="C45" s="136" t="s">
        <v>637</v>
      </c>
      <c r="D45" s="139"/>
      <c r="F45" s="44"/>
      <c r="G45" s="44"/>
      <c r="H45" s="44"/>
      <c r="I45" s="44"/>
    </row>
    <row r="46" ht="15.75" customHeight="1">
      <c r="B46" s="135">
        <v>38.0</v>
      </c>
      <c r="C46" s="136" t="s">
        <v>638</v>
      </c>
      <c r="D46" s="137"/>
      <c r="F46" s="44"/>
      <c r="G46" s="44"/>
      <c r="H46" s="44"/>
      <c r="I46" s="44"/>
    </row>
    <row r="47" ht="15.75" customHeight="1">
      <c r="B47" s="135">
        <v>39.0</v>
      </c>
      <c r="C47" s="136" t="s">
        <v>639</v>
      </c>
      <c r="D47" s="137"/>
      <c r="E47" s="83"/>
      <c r="F47" s="124"/>
      <c r="G47" s="124"/>
      <c r="H47" s="125" t="s">
        <v>156</v>
      </c>
      <c r="I47" s="126"/>
    </row>
    <row r="48" ht="15.75" customHeight="1">
      <c r="B48" s="135">
        <v>40.0</v>
      </c>
      <c r="C48" s="136" t="s">
        <v>640</v>
      </c>
      <c r="D48" s="138"/>
      <c r="E48" s="128"/>
      <c r="F48" s="124"/>
      <c r="G48" s="124"/>
      <c r="H48" s="125" t="s">
        <v>156</v>
      </c>
      <c r="I48" s="126"/>
    </row>
    <row r="49" ht="15.75" customHeight="1">
      <c r="B49" s="135">
        <v>41.0</v>
      </c>
      <c r="C49" s="136" t="s">
        <v>641</v>
      </c>
      <c r="D49" s="44"/>
      <c r="E49" s="83"/>
      <c r="F49" s="124"/>
      <c r="G49" s="124"/>
      <c r="H49" s="125" t="s">
        <v>156</v>
      </c>
      <c r="I49" s="126"/>
    </row>
    <row r="50" ht="15.75" customHeight="1">
      <c r="B50" s="135">
        <v>42.0</v>
      </c>
      <c r="C50" s="136" t="s">
        <v>642</v>
      </c>
      <c r="D50" s="139"/>
      <c r="E50" s="83"/>
      <c r="F50" s="124"/>
      <c r="G50" s="124"/>
      <c r="H50" s="125" t="s">
        <v>156</v>
      </c>
      <c r="I50" s="126"/>
    </row>
    <row r="51" ht="15.75" customHeight="1">
      <c r="B51" s="135">
        <v>43.0</v>
      </c>
      <c r="C51" s="136" t="s">
        <v>643</v>
      </c>
      <c r="D51" s="139"/>
      <c r="E51" s="83"/>
      <c r="F51" s="124"/>
      <c r="G51" s="124"/>
      <c r="H51" s="125" t="s">
        <v>156</v>
      </c>
      <c r="I51" s="126"/>
    </row>
    <row r="52" ht="15.75" customHeight="1">
      <c r="B52" s="135">
        <v>44.0</v>
      </c>
      <c r="C52" s="136" t="s">
        <v>644</v>
      </c>
      <c r="D52" s="139"/>
      <c r="E52" s="83"/>
      <c r="F52" s="124"/>
      <c r="G52" s="124"/>
      <c r="H52" s="125" t="s">
        <v>156</v>
      </c>
      <c r="I52" s="126"/>
    </row>
    <row r="53" ht="15.75" customHeight="1">
      <c r="B53" s="135">
        <v>45.0</v>
      </c>
      <c r="C53" s="136" t="s">
        <v>645</v>
      </c>
      <c r="D53" s="137"/>
      <c r="E53" s="83"/>
      <c r="F53" s="124"/>
      <c r="G53" s="124"/>
      <c r="H53" s="125" t="s">
        <v>156</v>
      </c>
      <c r="I53" s="126"/>
    </row>
    <row r="54" ht="15.75" customHeight="1">
      <c r="B54" s="135">
        <v>46.0</v>
      </c>
      <c r="C54" s="136" t="s">
        <v>646</v>
      </c>
      <c r="D54" s="137"/>
      <c r="F54" s="124"/>
      <c r="G54" s="124"/>
      <c r="H54" s="125" t="s">
        <v>156</v>
      </c>
      <c r="I54" s="126"/>
    </row>
    <row r="55" ht="15.75" customHeight="1">
      <c r="B55" s="135">
        <v>47.0</v>
      </c>
      <c r="C55" s="136" t="s">
        <v>647</v>
      </c>
      <c r="D55" s="138"/>
      <c r="F55" s="124"/>
      <c r="G55" s="124"/>
      <c r="H55" s="125" t="s">
        <v>156</v>
      </c>
      <c r="I55" s="126"/>
    </row>
    <row r="56" ht="15.75" customHeight="1">
      <c r="B56" s="135">
        <v>48.0</v>
      </c>
      <c r="C56" s="136" t="s">
        <v>648</v>
      </c>
      <c r="D56" s="137"/>
      <c r="F56" s="131"/>
      <c r="G56" s="131"/>
      <c r="H56" s="132" t="s">
        <v>156</v>
      </c>
      <c r="I56" s="133"/>
    </row>
    <row r="57" ht="15.75" customHeight="1">
      <c r="B57" s="135">
        <v>49.0</v>
      </c>
      <c r="C57" s="136" t="s">
        <v>649</v>
      </c>
      <c r="D57" s="137"/>
      <c r="F57" s="44"/>
      <c r="G57" s="44"/>
      <c r="H57" s="44"/>
      <c r="I57" s="44"/>
    </row>
    <row r="58" ht="15.75" customHeight="1">
      <c r="B58" s="135">
        <v>50.0</v>
      </c>
      <c r="C58" s="136" t="s">
        <v>650</v>
      </c>
      <c r="D58" s="137"/>
      <c r="F58" s="44"/>
      <c r="G58" s="44"/>
      <c r="H58" s="44"/>
      <c r="I58" s="44"/>
    </row>
    <row r="59" ht="15.75" customHeight="1">
      <c r="B59" s="135">
        <v>51.0</v>
      </c>
      <c r="C59" s="136" t="s">
        <v>651</v>
      </c>
      <c r="D59" s="138"/>
      <c r="F59" s="44"/>
      <c r="G59" s="44"/>
      <c r="H59" s="44"/>
      <c r="I59" s="44"/>
    </row>
    <row r="60" ht="15.75" customHeight="1">
      <c r="B60" s="135">
        <v>52.0</v>
      </c>
      <c r="C60" s="136" t="s">
        <v>652</v>
      </c>
      <c r="D60" s="139"/>
      <c r="F60" s="44"/>
      <c r="G60" s="44"/>
      <c r="H60" s="44"/>
      <c r="I60" s="44"/>
    </row>
    <row r="61" ht="15.75" customHeight="1">
      <c r="B61" s="135">
        <v>53.0</v>
      </c>
      <c r="C61" s="136" t="s">
        <v>653</v>
      </c>
      <c r="D61" s="137"/>
      <c r="E61" s="83"/>
      <c r="F61" s="124"/>
      <c r="G61" s="124"/>
      <c r="H61" s="125" t="s">
        <v>156</v>
      </c>
      <c r="I61" s="126"/>
    </row>
    <row r="62" ht="15.75" customHeight="1">
      <c r="B62" s="135">
        <v>54.0</v>
      </c>
      <c r="C62" s="136" t="s">
        <v>654</v>
      </c>
      <c r="D62" s="138"/>
      <c r="E62" s="128"/>
      <c r="F62" s="124"/>
      <c r="G62" s="124"/>
      <c r="H62" s="125" t="s">
        <v>156</v>
      </c>
      <c r="I62" s="126"/>
    </row>
    <row r="63" ht="15.75" customHeight="1">
      <c r="B63" s="135">
        <v>55.0</v>
      </c>
      <c r="C63" s="136" t="s">
        <v>655</v>
      </c>
      <c r="D63" s="44"/>
      <c r="E63" s="83"/>
      <c r="F63" s="124"/>
      <c r="G63" s="124"/>
      <c r="H63" s="125" t="s">
        <v>156</v>
      </c>
      <c r="I63" s="126"/>
    </row>
    <row r="64" ht="15.75" customHeight="1">
      <c r="B64" s="135">
        <v>56.0</v>
      </c>
      <c r="C64" s="136" t="s">
        <v>656</v>
      </c>
      <c r="D64" s="139"/>
      <c r="E64" s="83"/>
      <c r="F64" s="124"/>
      <c r="G64" s="124"/>
      <c r="H64" s="125" t="s">
        <v>156</v>
      </c>
      <c r="I64" s="126"/>
    </row>
    <row r="65" ht="15.75" customHeight="1">
      <c r="B65" s="135">
        <v>57.0</v>
      </c>
      <c r="C65" s="136" t="s">
        <v>657</v>
      </c>
      <c r="D65" s="139"/>
      <c r="E65" s="83"/>
      <c r="F65" s="124"/>
      <c r="G65" s="124"/>
      <c r="H65" s="125" t="s">
        <v>156</v>
      </c>
      <c r="I65" s="126"/>
    </row>
    <row r="66" ht="15.75" customHeight="1">
      <c r="B66" s="135">
        <v>58.0</v>
      </c>
      <c r="C66" s="136" t="s">
        <v>658</v>
      </c>
      <c r="D66" s="139"/>
      <c r="E66" s="83"/>
      <c r="F66" s="124"/>
      <c r="G66" s="124"/>
      <c r="H66" s="125" t="s">
        <v>156</v>
      </c>
      <c r="I66" s="126"/>
    </row>
    <row r="67" ht="15.75" customHeight="1">
      <c r="B67" s="135">
        <v>59.0</v>
      </c>
      <c r="C67" s="136" t="s">
        <v>659</v>
      </c>
      <c r="D67" s="137"/>
      <c r="E67" s="83"/>
      <c r="F67" s="124"/>
      <c r="G67" s="124"/>
      <c r="H67" s="125" t="s">
        <v>156</v>
      </c>
      <c r="I67" s="126"/>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10:H10"/>
    <mergeCell ref="I10:I11"/>
    <mergeCell ref="B11:D11"/>
    <mergeCell ref="C12:D12"/>
    <mergeCell ref="B2:I2"/>
    <mergeCell ref="K2:L2"/>
    <mergeCell ref="C4:D4"/>
    <mergeCell ref="C5:D5"/>
    <mergeCell ref="C6:D6"/>
    <mergeCell ref="B7:C7"/>
    <mergeCell ref="B9:D9"/>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12" width="11.43"/>
  </cols>
  <sheetData>
    <row r="2" ht="21.75" customHeight="1">
      <c r="B2" s="52" t="s">
        <v>660</v>
      </c>
      <c r="C2" s="53"/>
      <c r="D2" s="53"/>
      <c r="E2" s="53"/>
      <c r="F2" s="53"/>
      <c r="G2" s="53"/>
      <c r="H2" s="53"/>
      <c r="I2" s="54"/>
      <c r="K2" s="141" t="s">
        <v>9</v>
      </c>
      <c r="L2" s="56"/>
    </row>
    <row r="3" ht="15.0" customHeight="1">
      <c r="K3" s="44" t="s">
        <v>142</v>
      </c>
      <c r="L3" s="58">
        <f>COUNT(B12:D100)</f>
        <v>8</v>
      </c>
    </row>
    <row r="4">
      <c r="B4" s="59" t="s">
        <v>143</v>
      </c>
      <c r="C4" s="60" t="s">
        <v>144</v>
      </c>
      <c r="K4" s="44" t="s">
        <v>29</v>
      </c>
      <c r="L4" s="58">
        <f>COUNTIF(F12:F100,"X")</f>
        <v>0</v>
      </c>
    </row>
    <row r="5">
      <c r="B5" s="59" t="s">
        <v>145</v>
      </c>
      <c r="C5" s="60" t="s">
        <v>146</v>
      </c>
      <c r="K5" s="44" t="s">
        <v>149</v>
      </c>
      <c r="L5" s="58" t="str">
        <f>_xludf.PERCENTOF(L4,L3)</f>
        <v>#NAME?</v>
      </c>
    </row>
    <row r="6">
      <c r="B6" s="59" t="s">
        <v>147</v>
      </c>
      <c r="C6" s="60" t="s">
        <v>148</v>
      </c>
    </row>
    <row r="7">
      <c r="B7" s="64" t="s">
        <v>150</v>
      </c>
      <c r="D7" s="60" t="s">
        <v>151</v>
      </c>
    </row>
    <row r="8">
      <c r="B8" s="64"/>
      <c r="C8" s="64"/>
      <c r="D8" s="60"/>
    </row>
    <row r="9" ht="16.5" customHeight="1">
      <c r="B9" s="118"/>
      <c r="E9" s="119"/>
      <c r="F9" s="119"/>
      <c r="G9" s="119"/>
      <c r="H9" s="119"/>
      <c r="I9" s="119"/>
    </row>
    <row r="10" ht="21.0" customHeight="1">
      <c r="F10" s="65" t="s">
        <v>152</v>
      </c>
      <c r="G10" s="66"/>
      <c r="H10" s="67"/>
      <c r="I10" s="68" t="s">
        <v>562</v>
      </c>
    </row>
    <row r="11" ht="20.25" customHeight="1">
      <c r="B11" s="142" t="s">
        <v>661</v>
      </c>
      <c r="C11" s="53"/>
      <c r="D11" s="54"/>
      <c r="E11" s="71"/>
      <c r="F11" s="72" t="s">
        <v>143</v>
      </c>
      <c r="G11" s="73" t="s">
        <v>145</v>
      </c>
      <c r="H11" s="73" t="s">
        <v>147</v>
      </c>
      <c r="I11" s="74"/>
      <c r="J11" s="75"/>
    </row>
    <row r="12" ht="11.25" customHeight="1">
      <c r="C12" s="61"/>
      <c r="F12" s="120"/>
      <c r="G12" s="120"/>
      <c r="H12" s="120"/>
      <c r="I12" s="120"/>
    </row>
    <row r="13">
      <c r="B13" s="143">
        <v>1.0</v>
      </c>
      <c r="C13" s="144" t="s">
        <v>662</v>
      </c>
      <c r="D13" s="123"/>
      <c r="E13" s="83"/>
      <c r="F13" s="145"/>
      <c r="G13" s="145" t="s">
        <v>156</v>
      </c>
      <c r="H13" s="145"/>
      <c r="I13" s="126"/>
    </row>
    <row r="14">
      <c r="B14" s="146">
        <v>2.0</v>
      </c>
      <c r="C14" s="147" t="s">
        <v>663</v>
      </c>
      <c r="D14" s="148"/>
      <c r="E14" s="149"/>
      <c r="F14" s="145"/>
      <c r="G14" s="145" t="s">
        <v>156</v>
      </c>
      <c r="H14" s="145"/>
      <c r="I14" s="126"/>
    </row>
    <row r="15">
      <c r="B15" s="146">
        <v>3.0</v>
      </c>
      <c r="C15" s="150" t="s">
        <v>664</v>
      </c>
      <c r="D15" s="151"/>
      <c r="E15" s="83"/>
      <c r="F15" s="145"/>
      <c r="G15" s="145" t="s">
        <v>156</v>
      </c>
      <c r="H15" s="145"/>
      <c r="I15" s="126"/>
    </row>
    <row r="16">
      <c r="B16" s="146">
        <v>4.0</v>
      </c>
      <c r="C16" s="152" t="s">
        <v>665</v>
      </c>
      <c r="D16" s="151"/>
      <c r="E16" s="83"/>
      <c r="F16" s="145"/>
      <c r="G16" s="145" t="s">
        <v>156</v>
      </c>
      <c r="H16" s="145"/>
      <c r="I16" s="126"/>
    </row>
    <row r="17">
      <c r="B17" s="146">
        <v>5.0</v>
      </c>
      <c r="C17" s="130" t="s">
        <v>666</v>
      </c>
      <c r="D17" s="123"/>
      <c r="E17" s="83"/>
      <c r="F17" s="145"/>
      <c r="G17" s="145" t="s">
        <v>156</v>
      </c>
      <c r="H17" s="145"/>
      <c r="I17" s="126"/>
    </row>
    <row r="18">
      <c r="B18" s="143">
        <v>6.0</v>
      </c>
      <c r="C18" s="144" t="s">
        <v>667</v>
      </c>
      <c r="D18" s="123"/>
      <c r="E18" s="83"/>
      <c r="F18" s="145"/>
      <c r="G18" s="145" t="s">
        <v>156</v>
      </c>
      <c r="H18" s="145"/>
      <c r="I18" s="126"/>
    </row>
    <row r="19" ht="15.0" customHeight="1">
      <c r="B19" s="146">
        <v>7.0</v>
      </c>
      <c r="C19" s="147" t="s">
        <v>668</v>
      </c>
      <c r="D19" s="148"/>
      <c r="E19" s="149"/>
      <c r="F19" s="145"/>
      <c r="G19" s="145" t="s">
        <v>156</v>
      </c>
      <c r="H19" s="145"/>
      <c r="I19" s="126"/>
    </row>
    <row r="20" ht="15.0" customHeight="1">
      <c r="B20" s="153">
        <v>8.0</v>
      </c>
      <c r="C20" s="154" t="s">
        <v>669</v>
      </c>
      <c r="D20" s="155"/>
      <c r="E20" s="83"/>
      <c r="F20" s="145"/>
      <c r="G20" s="145" t="s">
        <v>156</v>
      </c>
      <c r="H20" s="145"/>
      <c r="I20" s="12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I2"/>
    <mergeCell ref="K2:L2"/>
    <mergeCell ref="C4:D4"/>
    <mergeCell ref="C5:D5"/>
    <mergeCell ref="C6:D6"/>
    <mergeCell ref="B7:C7"/>
    <mergeCell ref="B9:D9"/>
    <mergeCell ref="C16:D16"/>
    <mergeCell ref="C17:D17"/>
    <mergeCell ref="C18:D18"/>
    <mergeCell ref="C19:D19"/>
    <mergeCell ref="C20:D20"/>
    <mergeCell ref="F10:H10"/>
    <mergeCell ref="I10:I11"/>
    <mergeCell ref="B11:D11"/>
    <mergeCell ref="C12:D12"/>
    <mergeCell ref="C13:D13"/>
    <mergeCell ref="C14:D14"/>
    <mergeCell ref="C15:D15"/>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D1E3"/>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12" width="11.43"/>
  </cols>
  <sheetData>
    <row r="2" ht="21.75" customHeight="1">
      <c r="B2" s="52" t="s">
        <v>141</v>
      </c>
      <c r="C2" s="53"/>
      <c r="D2" s="53"/>
      <c r="E2" s="53"/>
      <c r="F2" s="53"/>
      <c r="G2" s="53"/>
      <c r="H2" s="53"/>
      <c r="I2" s="54"/>
      <c r="K2" s="117" t="s">
        <v>9</v>
      </c>
      <c r="L2" s="54"/>
    </row>
    <row r="3" ht="15.0" customHeight="1">
      <c r="K3" s="44" t="s">
        <v>142</v>
      </c>
      <c r="L3" s="58">
        <f>COUNT(B12:D100)</f>
        <v>14</v>
      </c>
    </row>
    <row r="4">
      <c r="B4" s="59" t="s">
        <v>143</v>
      </c>
      <c r="C4" s="60" t="s">
        <v>144</v>
      </c>
      <c r="K4" s="44" t="s">
        <v>29</v>
      </c>
      <c r="L4" s="58">
        <f>COUNTIF(F12:F100,"X")</f>
        <v>0</v>
      </c>
    </row>
    <row r="5">
      <c r="B5" s="59" t="s">
        <v>145</v>
      </c>
      <c r="C5" s="60" t="s">
        <v>146</v>
      </c>
      <c r="K5" s="44" t="s">
        <v>149</v>
      </c>
      <c r="L5" s="58" t="str">
        <f>_xludf.PERCENTOF(L4,L3)</f>
        <v>#NAME?</v>
      </c>
    </row>
    <row r="6">
      <c r="B6" s="59" t="s">
        <v>147</v>
      </c>
      <c r="C6" s="60" t="s">
        <v>148</v>
      </c>
    </row>
    <row r="7">
      <c r="B7" s="64" t="s">
        <v>150</v>
      </c>
      <c r="D7" s="60" t="s">
        <v>151</v>
      </c>
    </row>
    <row r="8">
      <c r="B8" s="64"/>
      <c r="C8" s="64"/>
      <c r="D8" s="60"/>
    </row>
    <row r="9" ht="16.5" customHeight="1">
      <c r="B9" s="118"/>
      <c r="E9" s="119"/>
      <c r="F9" s="119"/>
      <c r="G9" s="119"/>
      <c r="H9" s="119"/>
      <c r="I9" s="119"/>
    </row>
    <row r="10" ht="21.0" customHeight="1">
      <c r="F10" s="65" t="s">
        <v>152</v>
      </c>
      <c r="G10" s="66"/>
      <c r="H10" s="67"/>
      <c r="I10" s="68" t="s">
        <v>562</v>
      </c>
    </row>
    <row r="11" ht="20.25" customHeight="1">
      <c r="B11" s="156" t="s">
        <v>670</v>
      </c>
      <c r="C11" s="53"/>
      <c r="D11" s="54"/>
      <c r="E11" s="71"/>
      <c r="F11" s="72" t="s">
        <v>143</v>
      </c>
      <c r="G11" s="73" t="s">
        <v>145</v>
      </c>
      <c r="H11" s="73" t="s">
        <v>147</v>
      </c>
      <c r="I11" s="74"/>
      <c r="J11" s="75"/>
    </row>
    <row r="12" ht="11.25" customHeight="1">
      <c r="C12" s="61"/>
      <c r="F12" s="120"/>
      <c r="G12" s="120"/>
      <c r="H12" s="120"/>
      <c r="I12" s="120"/>
    </row>
    <row r="13">
      <c r="B13" s="157">
        <v>1.0</v>
      </c>
      <c r="C13" s="44" t="s">
        <v>671</v>
      </c>
      <c r="D13" s="137"/>
      <c r="E13" s="83"/>
      <c r="F13" s="124"/>
      <c r="G13" s="124"/>
      <c r="H13" s="125" t="s">
        <v>156</v>
      </c>
      <c r="I13" s="126"/>
    </row>
    <row r="14">
      <c r="B14" s="157">
        <v>2.0</v>
      </c>
      <c r="C14" s="44" t="s">
        <v>672</v>
      </c>
      <c r="D14" s="138"/>
      <c r="E14" s="128"/>
      <c r="F14" s="124"/>
      <c r="G14" s="124"/>
      <c r="H14" s="125" t="s">
        <v>156</v>
      </c>
      <c r="I14" s="126"/>
    </row>
    <row r="15">
      <c r="B15" s="157">
        <v>3.0</v>
      </c>
      <c r="C15" s="44" t="s">
        <v>673</v>
      </c>
      <c r="D15" s="44"/>
      <c r="E15" s="83"/>
      <c r="F15" s="124"/>
      <c r="G15" s="124"/>
      <c r="H15" s="125" t="s">
        <v>156</v>
      </c>
      <c r="I15" s="126"/>
    </row>
    <row r="16">
      <c r="B16" s="157">
        <v>4.0</v>
      </c>
      <c r="C16" s="44" t="s">
        <v>674</v>
      </c>
      <c r="D16" s="139"/>
      <c r="E16" s="83"/>
      <c r="F16" s="124"/>
      <c r="G16" s="124"/>
      <c r="H16" s="125" t="s">
        <v>156</v>
      </c>
      <c r="I16" s="126"/>
    </row>
    <row r="17">
      <c r="B17" s="157">
        <v>5.0</v>
      </c>
      <c r="C17" s="44" t="s">
        <v>675</v>
      </c>
      <c r="D17" s="139"/>
      <c r="E17" s="83"/>
      <c r="F17" s="124"/>
      <c r="G17" s="124"/>
      <c r="H17" s="125" t="s">
        <v>156</v>
      </c>
      <c r="I17" s="126"/>
    </row>
    <row r="18">
      <c r="B18" s="157">
        <v>6.0</v>
      </c>
      <c r="C18" s="44" t="s">
        <v>676</v>
      </c>
      <c r="D18" s="139"/>
      <c r="E18" s="83"/>
      <c r="F18" s="124"/>
      <c r="G18" s="124"/>
      <c r="H18" s="125" t="s">
        <v>156</v>
      </c>
      <c r="I18" s="126"/>
    </row>
    <row r="19">
      <c r="B19" s="157">
        <v>7.0</v>
      </c>
      <c r="C19" s="44" t="s">
        <v>677</v>
      </c>
      <c r="D19" s="137"/>
      <c r="E19" s="83"/>
      <c r="F19" s="124"/>
      <c r="G19" s="124"/>
      <c r="H19" s="125" t="s">
        <v>156</v>
      </c>
      <c r="I19" s="126"/>
    </row>
    <row r="20">
      <c r="B20" s="157">
        <v>8.0</v>
      </c>
      <c r="C20" s="44" t="s">
        <v>678</v>
      </c>
      <c r="D20" s="137"/>
      <c r="F20" s="124"/>
      <c r="G20" s="124"/>
      <c r="H20" s="125" t="s">
        <v>156</v>
      </c>
      <c r="I20" s="126"/>
    </row>
    <row r="21" ht="15.75" customHeight="1">
      <c r="B21" s="157">
        <v>9.0</v>
      </c>
      <c r="C21" s="44" t="s">
        <v>679</v>
      </c>
      <c r="D21" s="138"/>
      <c r="F21" s="124"/>
      <c r="G21" s="124"/>
      <c r="H21" s="125" t="s">
        <v>156</v>
      </c>
      <c r="I21" s="126"/>
    </row>
    <row r="22" ht="15.75" customHeight="1">
      <c r="B22" s="157">
        <v>10.0</v>
      </c>
      <c r="C22" s="44" t="s">
        <v>680</v>
      </c>
      <c r="D22" s="137"/>
      <c r="F22" s="131"/>
      <c r="G22" s="131"/>
      <c r="H22" s="132" t="s">
        <v>156</v>
      </c>
      <c r="I22" s="133"/>
    </row>
    <row r="23" ht="15.75" customHeight="1">
      <c r="B23" s="157">
        <v>11.0</v>
      </c>
      <c r="C23" s="44" t="s">
        <v>681</v>
      </c>
      <c r="D23" s="137"/>
      <c r="F23" s="44"/>
      <c r="G23" s="44"/>
      <c r="H23" s="44"/>
      <c r="I23" s="44"/>
    </row>
    <row r="24" ht="15.75" customHeight="1">
      <c r="B24" s="157">
        <v>12.0</v>
      </c>
      <c r="C24" s="44" t="s">
        <v>682</v>
      </c>
      <c r="D24" s="137"/>
      <c r="F24" s="44"/>
      <c r="G24" s="44"/>
      <c r="H24" s="44"/>
      <c r="I24" s="44"/>
    </row>
    <row r="25" ht="15.75" customHeight="1">
      <c r="B25" s="157">
        <v>13.0</v>
      </c>
      <c r="C25" s="44" t="s">
        <v>683</v>
      </c>
      <c r="D25" s="138"/>
      <c r="F25" s="44"/>
      <c r="G25" s="44"/>
      <c r="H25" s="44"/>
      <c r="I25" s="44"/>
    </row>
    <row r="26" ht="15.75" customHeight="1">
      <c r="B26" s="157">
        <v>14.0</v>
      </c>
      <c r="C26" s="44" t="s">
        <v>684</v>
      </c>
      <c r="D26" s="139"/>
      <c r="F26" s="44"/>
      <c r="G26" s="44"/>
      <c r="H26" s="44"/>
      <c r="I26" s="44"/>
    </row>
    <row r="27" ht="15.75" customHeight="1">
      <c r="B27" s="61"/>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10:H10"/>
    <mergeCell ref="I10:I11"/>
    <mergeCell ref="B11:D11"/>
    <mergeCell ref="C12:D12"/>
    <mergeCell ref="B2:I2"/>
    <mergeCell ref="K2:L2"/>
    <mergeCell ref="C4:D4"/>
    <mergeCell ref="C5:D5"/>
    <mergeCell ref="C6:D6"/>
    <mergeCell ref="B7:C7"/>
    <mergeCell ref="B9:D9"/>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10" width="11.43"/>
    <col customWidth="1" min="11" max="11" width="14.14"/>
    <col customWidth="1" min="12" max="26" width="11.43"/>
  </cols>
  <sheetData>
    <row r="2" ht="21.75" customHeight="1">
      <c r="B2" s="52" t="s">
        <v>141</v>
      </c>
      <c r="C2" s="53"/>
      <c r="D2" s="53"/>
      <c r="E2" s="53"/>
      <c r="F2" s="53"/>
      <c r="G2" s="53"/>
      <c r="H2" s="53"/>
      <c r="I2" s="54"/>
      <c r="K2" s="141" t="s">
        <v>9</v>
      </c>
      <c r="L2" s="56"/>
    </row>
    <row r="3" ht="15.0" customHeight="1">
      <c r="K3" s="44" t="s">
        <v>142</v>
      </c>
      <c r="L3" s="58">
        <f>COUNT(B12:D100)</f>
        <v>42</v>
      </c>
    </row>
    <row r="4">
      <c r="B4" s="59" t="s">
        <v>143</v>
      </c>
      <c r="C4" s="60" t="str">
        <f>COUNTIF('No funcionales generales BE'!F12:F48,"x")+COUNTIF(#REF!,"x")+COUNTIF(#REF!,"x")+COUNTIF('RF PANEL USER'!F12:F30,"x")+COUNTIF(#REF!,"x")+COUNTIF(#REF!,"x")+COUNTIF(#REF!,"x")+COUNTIF(#REF!,"x")+COUNTIF('Funcionales PRODUCTOS E INVENTA'!F13:F22,"x")+COUNTIF(#REF!,"x")+COUNTIF('Funcionales Carrito BE'!F13:F21,"x")+_xleta.COUNTIF</f>
        <v>#REF!</v>
      </c>
      <c r="K4" s="44" t="s">
        <v>29</v>
      </c>
      <c r="L4" s="58">
        <f>COUNTIF(F12:F100,"X")</f>
        <v>0</v>
      </c>
    </row>
    <row r="5">
      <c r="B5" s="59" t="s">
        <v>145</v>
      </c>
      <c r="C5" s="60" t="s">
        <v>146</v>
      </c>
      <c r="K5" s="44" t="s">
        <v>149</v>
      </c>
      <c r="L5" s="58" t="str">
        <f>_xludf.PERCENTOF(L4,L3)</f>
        <v>#NAME?</v>
      </c>
    </row>
    <row r="6">
      <c r="B6" s="59" t="s">
        <v>147</v>
      </c>
      <c r="C6" s="60" t="s">
        <v>148</v>
      </c>
    </row>
    <row r="7">
      <c r="B7" s="64" t="s">
        <v>150</v>
      </c>
      <c r="D7" s="60" t="s">
        <v>151</v>
      </c>
    </row>
    <row r="8">
      <c r="B8" s="64"/>
      <c r="C8" s="64"/>
      <c r="D8" s="60"/>
    </row>
    <row r="9" ht="16.5" customHeight="1">
      <c r="B9" s="118"/>
      <c r="E9" s="119"/>
      <c r="F9" s="119"/>
      <c r="G9" s="119"/>
      <c r="H9" s="119"/>
      <c r="I9" s="119"/>
    </row>
    <row r="10" ht="21.0" customHeight="1">
      <c r="F10" s="65" t="s">
        <v>152</v>
      </c>
      <c r="G10" s="66"/>
      <c r="H10" s="67"/>
      <c r="I10" s="68" t="s">
        <v>562</v>
      </c>
    </row>
    <row r="11" ht="20.25" customHeight="1">
      <c r="B11" s="142" t="s">
        <v>685</v>
      </c>
      <c r="C11" s="53"/>
      <c r="D11" s="54"/>
      <c r="E11" s="71"/>
      <c r="F11" s="72" t="s">
        <v>143</v>
      </c>
      <c r="G11" s="73" t="s">
        <v>145</v>
      </c>
      <c r="H11" s="73" t="s">
        <v>147</v>
      </c>
      <c r="I11" s="74"/>
      <c r="J11" s="75"/>
    </row>
    <row r="12" ht="11.25" customHeight="1">
      <c r="C12" s="61"/>
      <c r="F12" s="120"/>
      <c r="G12" s="120"/>
      <c r="H12" s="120"/>
      <c r="I12" s="120"/>
    </row>
    <row r="13">
      <c r="B13" s="143">
        <v>1.0</v>
      </c>
      <c r="C13" s="144" t="s">
        <v>686</v>
      </c>
      <c r="D13" s="123"/>
      <c r="E13" s="83"/>
      <c r="F13" s="145"/>
      <c r="G13" s="145" t="s">
        <v>156</v>
      </c>
      <c r="H13" s="145"/>
      <c r="I13" s="126"/>
    </row>
    <row r="14" ht="21.75" customHeight="1">
      <c r="B14" s="146">
        <v>2.0</v>
      </c>
      <c r="C14" s="147" t="s">
        <v>687</v>
      </c>
      <c r="D14" s="148"/>
      <c r="E14" s="149"/>
      <c r="F14" s="145"/>
      <c r="G14" s="145" t="s">
        <v>156</v>
      </c>
      <c r="H14" s="145"/>
      <c r="I14" s="126"/>
    </row>
    <row r="15">
      <c r="B15" s="146">
        <v>3.0</v>
      </c>
      <c r="C15" s="150" t="s">
        <v>688</v>
      </c>
      <c r="D15" s="151"/>
      <c r="E15" s="83"/>
      <c r="F15" s="145"/>
      <c r="G15" s="145" t="s">
        <v>156</v>
      </c>
      <c r="H15" s="145"/>
      <c r="I15" s="126"/>
    </row>
    <row r="16">
      <c r="B16" s="146">
        <v>4.0</v>
      </c>
      <c r="C16" s="152" t="s">
        <v>617</v>
      </c>
      <c r="D16" s="151"/>
      <c r="E16" s="83"/>
      <c r="F16" s="145"/>
      <c r="G16" s="145" t="s">
        <v>156</v>
      </c>
      <c r="H16" s="145"/>
      <c r="I16" s="126"/>
    </row>
    <row r="17">
      <c r="B17" s="146">
        <v>5.0</v>
      </c>
      <c r="C17" s="130" t="s">
        <v>689</v>
      </c>
      <c r="D17" s="123"/>
      <c r="E17" s="83"/>
      <c r="F17" s="145"/>
      <c r="G17" s="145" t="s">
        <v>156</v>
      </c>
      <c r="H17" s="145"/>
      <c r="I17" s="126"/>
    </row>
    <row r="18">
      <c r="B18" s="146">
        <v>6.0</v>
      </c>
      <c r="C18" s="158" t="s">
        <v>690</v>
      </c>
      <c r="D18" s="123"/>
      <c r="E18" s="83"/>
      <c r="F18" s="145"/>
      <c r="G18" s="145" t="s">
        <v>156</v>
      </c>
      <c r="H18" s="145"/>
      <c r="I18" s="126"/>
    </row>
    <row r="19">
      <c r="B19" s="146">
        <v>7.0</v>
      </c>
      <c r="C19" s="147" t="s">
        <v>691</v>
      </c>
      <c r="D19" s="159"/>
      <c r="E19" s="83"/>
      <c r="F19" s="145"/>
      <c r="G19" s="145" t="s">
        <v>156</v>
      </c>
      <c r="H19" s="145"/>
      <c r="I19" s="126"/>
    </row>
    <row r="20">
      <c r="B20" s="146">
        <v>8.0</v>
      </c>
      <c r="C20" s="160" t="s">
        <v>692</v>
      </c>
      <c r="D20" s="151"/>
      <c r="F20" s="145"/>
      <c r="G20" s="145" t="s">
        <v>156</v>
      </c>
      <c r="H20" s="145"/>
      <c r="I20" s="126"/>
    </row>
    <row r="21" ht="15.75" customHeight="1">
      <c r="B21" s="146">
        <v>9.0</v>
      </c>
      <c r="C21" s="129" t="s">
        <v>693</v>
      </c>
      <c r="D21" s="123"/>
      <c r="F21" s="145"/>
      <c r="G21" s="145" t="s">
        <v>156</v>
      </c>
      <c r="H21" s="145"/>
      <c r="I21" s="126"/>
    </row>
    <row r="22" ht="18.75" customHeight="1">
      <c r="B22" s="146">
        <v>10.0</v>
      </c>
      <c r="C22" s="129" t="s">
        <v>694</v>
      </c>
      <c r="D22" s="161"/>
      <c r="E22" s="162"/>
      <c r="F22" s="145"/>
      <c r="G22" s="145" t="s">
        <v>156</v>
      </c>
      <c r="H22" s="145"/>
      <c r="I22" s="126"/>
    </row>
    <row r="23" ht="15.75" customHeight="1">
      <c r="B23" s="143">
        <v>11.0</v>
      </c>
      <c r="C23" s="160" t="s">
        <v>695</v>
      </c>
      <c r="D23" s="151"/>
      <c r="F23" s="145"/>
      <c r="G23" s="145" t="s">
        <v>156</v>
      </c>
      <c r="H23" s="145"/>
      <c r="I23" s="126"/>
    </row>
    <row r="24" ht="15.75" customHeight="1">
      <c r="B24" s="163">
        <v>12.0</v>
      </c>
      <c r="C24" s="164" t="s">
        <v>696</v>
      </c>
      <c r="D24" s="6"/>
      <c r="F24" s="145"/>
      <c r="G24" s="145" t="s">
        <v>156</v>
      </c>
      <c r="H24" s="145"/>
      <c r="I24" s="126"/>
    </row>
    <row r="25" ht="15.75" customHeight="1">
      <c r="B25" s="146">
        <v>13.0</v>
      </c>
      <c r="C25" s="165" t="s">
        <v>697</v>
      </c>
      <c r="D25" s="159"/>
      <c r="F25" s="145"/>
      <c r="G25" s="145" t="s">
        <v>156</v>
      </c>
      <c r="H25" s="145"/>
      <c r="I25" s="126"/>
    </row>
    <row r="26" ht="15.75" customHeight="1">
      <c r="B26" s="146">
        <v>14.0</v>
      </c>
      <c r="C26" s="152" t="s">
        <v>698</v>
      </c>
      <c r="D26" s="151"/>
      <c r="F26" s="145"/>
      <c r="G26" s="145" t="s">
        <v>156</v>
      </c>
      <c r="H26" s="145"/>
      <c r="I26" s="126"/>
    </row>
    <row r="27" ht="15.75" customHeight="1">
      <c r="B27" s="146">
        <v>15.0</v>
      </c>
      <c r="C27" s="130" t="s">
        <v>699</v>
      </c>
      <c r="D27" s="123"/>
      <c r="F27" s="145"/>
      <c r="G27" s="145" t="s">
        <v>156</v>
      </c>
      <c r="H27" s="145"/>
      <c r="I27" s="126"/>
    </row>
    <row r="28" ht="15.75" customHeight="1">
      <c r="B28" s="146">
        <v>16.0</v>
      </c>
      <c r="C28" s="158" t="s">
        <v>700</v>
      </c>
      <c r="D28" s="123"/>
      <c r="F28" s="145"/>
      <c r="G28" s="145" t="s">
        <v>156</v>
      </c>
      <c r="H28" s="145"/>
      <c r="I28" s="126"/>
    </row>
    <row r="29" ht="15.75" customHeight="1">
      <c r="B29" s="143">
        <v>17.0</v>
      </c>
      <c r="C29" s="144" t="s">
        <v>701</v>
      </c>
      <c r="D29" s="123"/>
      <c r="E29" s="83"/>
      <c r="F29" s="145"/>
      <c r="G29" s="145" t="s">
        <v>156</v>
      </c>
      <c r="H29" s="145"/>
      <c r="I29" s="126"/>
    </row>
    <row r="30" ht="15.75" customHeight="1">
      <c r="B30" s="146">
        <v>18.0</v>
      </c>
      <c r="C30" s="147" t="s">
        <v>702</v>
      </c>
      <c r="D30" s="148"/>
      <c r="E30" s="149"/>
      <c r="F30" s="145"/>
      <c r="G30" s="145" t="s">
        <v>156</v>
      </c>
      <c r="H30" s="145"/>
      <c r="I30" s="126"/>
    </row>
    <row r="31" ht="15.75" customHeight="1">
      <c r="B31" s="146">
        <v>19.0</v>
      </c>
      <c r="C31" s="150" t="s">
        <v>703</v>
      </c>
      <c r="D31" s="151"/>
      <c r="E31" s="83"/>
      <c r="F31" s="145"/>
      <c r="G31" s="145" t="s">
        <v>156</v>
      </c>
      <c r="H31" s="145"/>
      <c r="I31" s="126"/>
    </row>
    <row r="32" ht="15.75" customHeight="1">
      <c r="B32" s="146">
        <v>20.0</v>
      </c>
      <c r="C32" s="152" t="s">
        <v>704</v>
      </c>
      <c r="D32" s="151"/>
      <c r="E32" s="83"/>
      <c r="F32" s="145"/>
      <c r="G32" s="145" t="s">
        <v>156</v>
      </c>
      <c r="H32" s="145"/>
      <c r="I32" s="126"/>
    </row>
    <row r="33" ht="15.75" customHeight="1">
      <c r="B33" s="146">
        <v>21.0</v>
      </c>
      <c r="C33" s="130" t="s">
        <v>705</v>
      </c>
      <c r="D33" s="123"/>
      <c r="E33" s="83"/>
      <c r="F33" s="145"/>
      <c r="G33" s="145" t="s">
        <v>156</v>
      </c>
      <c r="H33" s="145"/>
      <c r="I33" s="126"/>
    </row>
    <row r="34" ht="15.75" customHeight="1">
      <c r="B34" s="146">
        <v>22.0</v>
      </c>
      <c r="C34" s="158" t="s">
        <v>706</v>
      </c>
      <c r="D34" s="123"/>
      <c r="E34" s="83"/>
      <c r="F34" s="145"/>
      <c r="G34" s="145" t="s">
        <v>156</v>
      </c>
      <c r="H34" s="145"/>
      <c r="I34" s="126"/>
    </row>
    <row r="35" ht="15.75" customHeight="1">
      <c r="B35" s="146">
        <v>23.0</v>
      </c>
      <c r="C35" s="147" t="s">
        <v>707</v>
      </c>
      <c r="D35" s="159"/>
      <c r="E35" s="83"/>
      <c r="F35" s="145"/>
      <c r="G35" s="145" t="s">
        <v>156</v>
      </c>
      <c r="H35" s="145"/>
      <c r="I35" s="126"/>
    </row>
    <row r="36" ht="15.75" customHeight="1">
      <c r="B36" s="146">
        <v>24.0</v>
      </c>
      <c r="C36" s="160" t="s">
        <v>708</v>
      </c>
      <c r="D36" s="151"/>
      <c r="F36" s="145"/>
      <c r="G36" s="145" t="s">
        <v>156</v>
      </c>
      <c r="H36" s="145"/>
      <c r="I36" s="126"/>
    </row>
    <row r="37" ht="15.75" customHeight="1">
      <c r="B37" s="143">
        <v>25.0</v>
      </c>
      <c r="C37" s="144" t="s">
        <v>709</v>
      </c>
      <c r="D37" s="123"/>
      <c r="E37" s="83"/>
      <c r="F37" s="145"/>
      <c r="G37" s="145" t="s">
        <v>156</v>
      </c>
      <c r="H37" s="145"/>
      <c r="I37" s="126"/>
    </row>
    <row r="38" ht="15.75" customHeight="1">
      <c r="B38" s="146">
        <v>26.0</v>
      </c>
      <c r="C38" s="147" t="s">
        <v>710</v>
      </c>
      <c r="D38" s="148"/>
      <c r="E38" s="149"/>
      <c r="F38" s="145"/>
      <c r="G38" s="145" t="s">
        <v>156</v>
      </c>
      <c r="H38" s="145"/>
      <c r="I38" s="126"/>
    </row>
    <row r="39" ht="15.75" customHeight="1">
      <c r="B39" s="146">
        <v>27.0</v>
      </c>
      <c r="C39" s="150" t="s">
        <v>711</v>
      </c>
      <c r="D39" s="151"/>
      <c r="E39" s="83"/>
      <c r="F39" s="145"/>
      <c r="G39" s="145" t="s">
        <v>156</v>
      </c>
      <c r="H39" s="145"/>
      <c r="I39" s="126"/>
    </row>
    <row r="40" ht="15.75" customHeight="1">
      <c r="B40" s="146">
        <v>28.0</v>
      </c>
      <c r="C40" s="152" t="s">
        <v>712</v>
      </c>
      <c r="D40" s="151"/>
      <c r="E40" s="83"/>
      <c r="F40" s="145"/>
      <c r="G40" s="145" t="s">
        <v>156</v>
      </c>
      <c r="H40" s="145"/>
      <c r="I40" s="126"/>
    </row>
    <row r="41" ht="15.75" customHeight="1">
      <c r="B41" s="146">
        <v>29.0</v>
      </c>
      <c r="C41" s="130" t="s">
        <v>713</v>
      </c>
      <c r="D41" s="123"/>
      <c r="E41" s="83"/>
      <c r="F41" s="145"/>
      <c r="G41" s="145" t="s">
        <v>156</v>
      </c>
      <c r="H41" s="145"/>
      <c r="I41" s="126"/>
    </row>
    <row r="42" ht="15.75" customHeight="1">
      <c r="B42" s="146">
        <v>30.0</v>
      </c>
      <c r="C42" s="158" t="s">
        <v>714</v>
      </c>
      <c r="D42" s="123"/>
      <c r="E42" s="83"/>
      <c r="F42" s="145"/>
      <c r="G42" s="145" t="s">
        <v>156</v>
      </c>
      <c r="H42" s="145"/>
      <c r="I42" s="126"/>
    </row>
    <row r="43" ht="15.75" customHeight="1">
      <c r="B43" s="146">
        <v>31.0</v>
      </c>
      <c r="C43" s="147" t="s">
        <v>715</v>
      </c>
      <c r="D43" s="159"/>
      <c r="E43" s="83"/>
      <c r="F43" s="145"/>
      <c r="G43" s="145" t="s">
        <v>156</v>
      </c>
      <c r="H43" s="145"/>
      <c r="I43" s="126"/>
    </row>
    <row r="44" ht="15.75" customHeight="1">
      <c r="B44" s="146">
        <v>32.0</v>
      </c>
      <c r="C44" s="160" t="s">
        <v>716</v>
      </c>
      <c r="D44" s="151"/>
      <c r="F44" s="145"/>
      <c r="G44" s="145" t="s">
        <v>156</v>
      </c>
      <c r="H44" s="145"/>
      <c r="I44" s="126"/>
    </row>
    <row r="45" ht="15.75" customHeight="1">
      <c r="B45" s="153">
        <v>33.0</v>
      </c>
      <c r="C45" s="129" t="s">
        <v>717</v>
      </c>
      <c r="D45" s="123"/>
      <c r="F45" s="145"/>
      <c r="G45" s="145" t="s">
        <v>156</v>
      </c>
      <c r="H45" s="145"/>
      <c r="I45" s="126"/>
    </row>
    <row r="46" ht="15.75" customHeight="1">
      <c r="B46" s="166">
        <v>34.0</v>
      </c>
      <c r="C46" s="144" t="s">
        <v>718</v>
      </c>
      <c r="D46" s="123"/>
      <c r="E46" s="83"/>
      <c r="F46" s="145"/>
      <c r="G46" s="145" t="s">
        <v>156</v>
      </c>
      <c r="H46" s="145"/>
      <c r="I46" s="126"/>
    </row>
    <row r="47" ht="15.75" customHeight="1">
      <c r="B47" s="146">
        <v>35.0</v>
      </c>
      <c r="C47" s="147" t="s">
        <v>719</v>
      </c>
      <c r="D47" s="148"/>
      <c r="E47" s="149"/>
      <c r="F47" s="145"/>
      <c r="G47" s="145" t="s">
        <v>156</v>
      </c>
      <c r="H47" s="145"/>
      <c r="I47" s="126"/>
    </row>
    <row r="48" ht="15.75" customHeight="1">
      <c r="B48" s="146">
        <v>36.0</v>
      </c>
      <c r="C48" s="150" t="s">
        <v>720</v>
      </c>
      <c r="D48" s="151"/>
      <c r="E48" s="83"/>
      <c r="F48" s="145"/>
      <c r="G48" s="145" t="s">
        <v>156</v>
      </c>
      <c r="H48" s="145"/>
      <c r="I48" s="126"/>
    </row>
    <row r="49" ht="15.75" customHeight="1">
      <c r="B49" s="146">
        <v>37.0</v>
      </c>
      <c r="C49" s="152" t="s">
        <v>721</v>
      </c>
      <c r="D49" s="151"/>
      <c r="E49" s="83"/>
      <c r="F49" s="145"/>
      <c r="G49" s="145" t="s">
        <v>156</v>
      </c>
      <c r="H49" s="145"/>
      <c r="I49" s="126"/>
    </row>
    <row r="50" ht="15.75" customHeight="1">
      <c r="B50" s="146">
        <v>38.0</v>
      </c>
      <c r="C50" s="130" t="s">
        <v>722</v>
      </c>
      <c r="D50" s="123"/>
      <c r="E50" s="83"/>
      <c r="F50" s="145"/>
      <c r="G50" s="145" t="s">
        <v>156</v>
      </c>
      <c r="H50" s="145"/>
      <c r="I50" s="126"/>
    </row>
    <row r="51" ht="15.75" customHeight="1">
      <c r="B51" s="146">
        <v>39.0</v>
      </c>
      <c r="C51" s="158" t="s">
        <v>723</v>
      </c>
      <c r="D51" s="123"/>
      <c r="E51" s="83"/>
      <c r="F51" s="145"/>
      <c r="G51" s="145" t="s">
        <v>156</v>
      </c>
      <c r="H51" s="145"/>
      <c r="I51" s="126"/>
    </row>
    <row r="52" ht="15.75" customHeight="1">
      <c r="B52" s="146">
        <v>40.0</v>
      </c>
      <c r="C52" s="147" t="s">
        <v>724</v>
      </c>
      <c r="D52" s="159"/>
      <c r="E52" s="83"/>
      <c r="F52" s="145"/>
      <c r="G52" s="145" t="s">
        <v>156</v>
      </c>
      <c r="H52" s="145"/>
      <c r="I52" s="126"/>
    </row>
    <row r="53" ht="15.75" customHeight="1">
      <c r="B53" s="153">
        <v>41.0</v>
      </c>
      <c r="C53" s="167" t="s">
        <v>725</v>
      </c>
      <c r="D53" s="155"/>
      <c r="F53" s="145"/>
      <c r="G53" s="145" t="s">
        <v>156</v>
      </c>
      <c r="H53" s="145"/>
      <c r="I53" s="126"/>
    </row>
    <row r="54" ht="15.75" customHeight="1">
      <c r="B54" s="153">
        <v>42.0</v>
      </c>
      <c r="C54" s="167" t="s">
        <v>726</v>
      </c>
      <c r="D54" s="155"/>
      <c r="F54" s="145"/>
      <c r="G54" s="145" t="s">
        <v>156</v>
      </c>
      <c r="H54" s="145"/>
      <c r="I54" s="126"/>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B2:I2"/>
    <mergeCell ref="K2:L2"/>
    <mergeCell ref="C4:D4"/>
    <mergeCell ref="C5:D5"/>
    <mergeCell ref="C6:D6"/>
    <mergeCell ref="B7:C7"/>
    <mergeCell ref="B9:D9"/>
    <mergeCell ref="F10:H10"/>
    <mergeCell ref="I10:I11"/>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51:D51"/>
    <mergeCell ref="C52:D52"/>
    <mergeCell ref="C53:D53"/>
    <mergeCell ref="C54:D54"/>
    <mergeCell ref="C44:D44"/>
    <mergeCell ref="C45:D45"/>
    <mergeCell ref="C46:D46"/>
    <mergeCell ref="C47:D47"/>
    <mergeCell ref="C48:D48"/>
    <mergeCell ref="C49:D49"/>
    <mergeCell ref="C50:D50"/>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2.86"/>
    <col customWidth="1" min="2" max="2" width="4.57"/>
    <col customWidth="1" min="3" max="3" width="10.43"/>
    <col customWidth="1" min="4" max="4" width="122.14"/>
    <col customWidth="1" min="5" max="5" width="4.29"/>
    <col customWidth="1" min="6" max="8" width="7.14"/>
    <col customWidth="1" min="9" max="9" width="85.71"/>
    <col customWidth="1" min="10" max="26" width="11.43"/>
  </cols>
  <sheetData>
    <row r="1" ht="18.75" customHeight="1">
      <c r="B1" s="168"/>
    </row>
    <row r="2" ht="21.75" customHeight="1">
      <c r="B2" s="52" t="s">
        <v>141</v>
      </c>
      <c r="C2" s="53"/>
      <c r="D2" s="53"/>
      <c r="E2" s="53"/>
      <c r="F2" s="53"/>
      <c r="G2" s="53"/>
      <c r="H2" s="53"/>
      <c r="I2" s="54"/>
      <c r="K2" s="169" t="s">
        <v>9</v>
      </c>
      <c r="L2" s="56"/>
    </row>
    <row r="3" ht="15.0" customHeight="1">
      <c r="B3" s="168"/>
      <c r="K3" s="44" t="s">
        <v>142</v>
      </c>
      <c r="L3" s="58">
        <f>COUNT(B12:D100)</f>
        <v>27</v>
      </c>
    </row>
    <row r="4" ht="18.75" customHeight="1">
      <c r="B4" s="170" t="s">
        <v>143</v>
      </c>
      <c r="C4" s="60" t="s">
        <v>144</v>
      </c>
      <c r="E4" s="60"/>
      <c r="K4" s="44" t="s">
        <v>29</v>
      </c>
      <c r="L4" s="58">
        <f>COUNTIF(F12:F100,"X")</f>
        <v>2</v>
      </c>
    </row>
    <row r="5" ht="18.75" customHeight="1">
      <c r="B5" s="170" t="s">
        <v>145</v>
      </c>
      <c r="C5" s="60" t="s">
        <v>146</v>
      </c>
      <c r="E5" s="60"/>
      <c r="K5" s="44" t="s">
        <v>149</v>
      </c>
      <c r="L5" s="58" t="str">
        <f>_xludf.PERCENTOF(L4,L3)</f>
        <v>#NAME?</v>
      </c>
    </row>
    <row r="6" ht="18.75" customHeight="1">
      <c r="B6" s="170" t="s">
        <v>147</v>
      </c>
      <c r="C6" s="60" t="s">
        <v>148</v>
      </c>
      <c r="E6" s="60"/>
    </row>
    <row r="7" ht="18.75" customHeight="1">
      <c r="B7" s="64" t="s">
        <v>150</v>
      </c>
      <c r="D7" s="60" t="s">
        <v>151</v>
      </c>
      <c r="E7" s="60"/>
    </row>
    <row r="8" ht="18.75" customHeight="1">
      <c r="B8" s="168"/>
    </row>
    <row r="9" ht="18.75" customHeight="1">
      <c r="B9" s="168"/>
      <c r="F9" s="65" t="s">
        <v>152</v>
      </c>
      <c r="G9" s="66"/>
      <c r="H9" s="67"/>
      <c r="I9" s="68" t="s">
        <v>562</v>
      </c>
    </row>
    <row r="10" ht="27.0" customHeight="1">
      <c r="B10" s="171" t="s">
        <v>727</v>
      </c>
      <c r="C10" s="172"/>
      <c r="D10" s="173"/>
      <c r="E10" s="174"/>
      <c r="F10" s="72" t="s">
        <v>143</v>
      </c>
      <c r="G10" s="73" t="s">
        <v>145</v>
      </c>
      <c r="H10" s="73" t="s">
        <v>147</v>
      </c>
      <c r="I10" s="74"/>
      <c r="J10" s="75"/>
    </row>
    <row r="11" ht="11.25" customHeight="1">
      <c r="B11" s="168"/>
      <c r="C11" s="175"/>
      <c r="D11" s="176"/>
    </row>
    <row r="12" ht="18.75" customHeight="1">
      <c r="B12" s="177">
        <v>1.0</v>
      </c>
      <c r="C12" s="82" t="s">
        <v>728</v>
      </c>
      <c r="D12" s="6"/>
      <c r="E12" s="83"/>
      <c r="F12" s="58" t="s">
        <v>156</v>
      </c>
      <c r="G12" s="44"/>
      <c r="H12" s="44"/>
      <c r="I12" s="44"/>
    </row>
    <row r="13" ht="18.75" customHeight="1">
      <c r="B13" s="178">
        <v>2.0</v>
      </c>
      <c r="C13" s="82" t="s">
        <v>729</v>
      </c>
      <c r="D13" s="6"/>
      <c r="E13" s="83"/>
      <c r="F13" s="58"/>
      <c r="G13" s="44"/>
      <c r="H13" s="44"/>
      <c r="I13" s="44"/>
    </row>
    <row r="14" ht="18.75" customHeight="1">
      <c r="B14" s="177">
        <v>3.0</v>
      </c>
      <c r="C14" s="82" t="s">
        <v>730</v>
      </c>
      <c r="D14" s="6"/>
      <c r="E14" s="83"/>
      <c r="F14" s="58" t="s">
        <v>156</v>
      </c>
      <c r="G14" s="44"/>
      <c r="H14" s="44"/>
      <c r="I14" s="44"/>
    </row>
    <row r="15" ht="18.75" customHeight="1">
      <c r="B15" s="177">
        <v>4.0</v>
      </c>
      <c r="C15" s="82" t="s">
        <v>731</v>
      </c>
      <c r="D15" s="6"/>
      <c r="E15" s="83"/>
      <c r="F15" s="58"/>
      <c r="G15" s="44"/>
      <c r="H15" s="44"/>
      <c r="I15" s="44"/>
    </row>
    <row r="16" ht="18.75" customHeight="1">
      <c r="B16" s="177">
        <v>5.0</v>
      </c>
      <c r="C16" s="82" t="s">
        <v>732</v>
      </c>
      <c r="D16" s="6"/>
      <c r="E16" s="83"/>
      <c r="F16" s="44"/>
      <c r="G16" s="44"/>
      <c r="H16" s="44"/>
      <c r="I16" s="44"/>
    </row>
    <row r="17" ht="18.75" customHeight="1">
      <c r="B17" s="179">
        <v>6.0</v>
      </c>
      <c r="C17" s="180" t="s">
        <v>733</v>
      </c>
      <c r="D17" s="6"/>
      <c r="E17" s="83"/>
      <c r="F17" s="44"/>
      <c r="G17" s="44"/>
      <c r="H17" s="44"/>
      <c r="I17" s="44"/>
    </row>
    <row r="18" ht="18.75" customHeight="1">
      <c r="B18" s="181">
        <v>7.0</v>
      </c>
      <c r="C18" s="82" t="s">
        <v>488</v>
      </c>
      <c r="D18" s="6"/>
      <c r="F18" s="44"/>
      <c r="G18" s="44"/>
      <c r="H18" s="44"/>
      <c r="I18" s="44"/>
    </row>
    <row r="19" ht="18.75" customHeight="1">
      <c r="B19" s="182">
        <v>8.0</v>
      </c>
      <c r="C19" s="82" t="s">
        <v>734</v>
      </c>
      <c r="D19" s="6"/>
      <c r="F19" s="44"/>
      <c r="G19" s="44"/>
      <c r="H19" s="44"/>
      <c r="I19" s="44"/>
    </row>
    <row r="20" ht="18.75" customHeight="1">
      <c r="B20" s="178">
        <v>9.0</v>
      </c>
      <c r="C20" s="82" t="s">
        <v>735</v>
      </c>
      <c r="D20" s="6"/>
      <c r="F20" s="44"/>
      <c r="G20" s="44"/>
      <c r="H20" s="44"/>
      <c r="I20" s="44"/>
    </row>
    <row r="21" ht="18.75" customHeight="1">
      <c r="B21" s="181">
        <v>10.0</v>
      </c>
      <c r="C21" s="180" t="s">
        <v>736</v>
      </c>
      <c r="D21" s="6"/>
      <c r="F21" s="44"/>
      <c r="G21" s="44"/>
      <c r="H21" s="44"/>
      <c r="I21" s="44"/>
    </row>
    <row r="22" ht="18.75" customHeight="1">
      <c r="B22" s="181">
        <v>11.0</v>
      </c>
      <c r="C22" s="180" t="s">
        <v>487</v>
      </c>
      <c r="D22" s="6"/>
      <c r="F22" s="44"/>
      <c r="G22" s="44"/>
      <c r="H22" s="44"/>
      <c r="I22" s="44"/>
    </row>
    <row r="23" ht="18.75" customHeight="1">
      <c r="B23" s="181">
        <v>12.0</v>
      </c>
      <c r="C23" s="180" t="s">
        <v>737</v>
      </c>
      <c r="D23" s="6"/>
      <c r="F23" s="44"/>
      <c r="G23" s="44"/>
      <c r="H23" s="44"/>
      <c r="I23" s="44"/>
    </row>
    <row r="24" ht="18.75" customHeight="1">
      <c r="B24" s="181">
        <v>13.0</v>
      </c>
      <c r="C24" s="180" t="s">
        <v>738</v>
      </c>
      <c r="D24" s="6"/>
      <c r="F24" s="44"/>
      <c r="G24" s="44"/>
      <c r="H24" s="44"/>
      <c r="I24" s="44"/>
    </row>
    <row r="25" ht="18.75" customHeight="1">
      <c r="B25" s="179">
        <v>14.0</v>
      </c>
      <c r="C25" s="82" t="s">
        <v>739</v>
      </c>
      <c r="D25" s="6"/>
      <c r="F25" s="44"/>
      <c r="G25" s="44"/>
      <c r="H25" s="44"/>
      <c r="I25" s="44"/>
    </row>
    <row r="26" ht="18.75" customHeight="1">
      <c r="B26" s="181">
        <v>15.0</v>
      </c>
      <c r="C26" s="183" t="s">
        <v>740</v>
      </c>
      <c r="D26" s="6"/>
      <c r="F26" s="44"/>
      <c r="G26" s="44"/>
      <c r="H26" s="44"/>
      <c r="I26" s="44"/>
    </row>
    <row r="27" ht="18.75" customHeight="1">
      <c r="B27" s="177">
        <v>16.0</v>
      </c>
      <c r="C27" s="82" t="s">
        <v>741</v>
      </c>
      <c r="D27" s="6"/>
      <c r="F27" s="44"/>
      <c r="G27" s="44"/>
      <c r="H27" s="44"/>
      <c r="I27" s="44"/>
    </row>
    <row r="28" ht="18.75" customHeight="1">
      <c r="B28" s="178">
        <v>17.0</v>
      </c>
      <c r="C28" s="82" t="s">
        <v>729</v>
      </c>
      <c r="D28" s="6"/>
      <c r="F28" s="44"/>
      <c r="G28" s="44"/>
      <c r="H28" s="44"/>
      <c r="I28" s="44"/>
    </row>
    <row r="29" ht="18.75" customHeight="1">
      <c r="B29" s="177">
        <v>18.0</v>
      </c>
      <c r="C29" s="82" t="s">
        <v>742</v>
      </c>
      <c r="D29" s="6"/>
      <c r="F29" s="44"/>
      <c r="G29" s="44"/>
      <c r="H29" s="44"/>
      <c r="I29" s="44"/>
    </row>
    <row r="30" ht="18.75" customHeight="1">
      <c r="B30" s="177">
        <v>19.0</v>
      </c>
      <c r="C30" s="82" t="s">
        <v>743</v>
      </c>
      <c r="D30" s="6"/>
      <c r="F30" s="44"/>
      <c r="G30" s="44"/>
      <c r="H30" s="44"/>
      <c r="I30" s="44"/>
    </row>
    <row r="31" ht="18.75" customHeight="1">
      <c r="B31" s="177">
        <v>20.0</v>
      </c>
      <c r="C31" s="82" t="s">
        <v>744</v>
      </c>
      <c r="D31" s="6"/>
      <c r="F31" s="44"/>
      <c r="G31" s="44"/>
      <c r="H31" s="44"/>
      <c r="I31" s="44"/>
    </row>
    <row r="32" ht="18.75" customHeight="1">
      <c r="B32" s="179">
        <v>21.0</v>
      </c>
      <c r="C32" s="180" t="s">
        <v>745</v>
      </c>
      <c r="D32" s="6"/>
      <c r="F32" s="44"/>
      <c r="G32" s="44"/>
      <c r="H32" s="44"/>
      <c r="I32" s="44"/>
    </row>
    <row r="33" ht="18.75" customHeight="1">
      <c r="B33" s="181">
        <v>22.0</v>
      </c>
      <c r="C33" s="82" t="s">
        <v>746</v>
      </c>
      <c r="D33" s="6"/>
      <c r="F33" s="44"/>
      <c r="G33" s="44"/>
      <c r="H33" s="44"/>
      <c r="I33" s="44"/>
    </row>
    <row r="34" ht="18.75" customHeight="1">
      <c r="B34" s="182">
        <v>23.0</v>
      </c>
      <c r="C34" s="82" t="s">
        <v>747</v>
      </c>
      <c r="D34" s="6"/>
      <c r="F34" s="44"/>
      <c r="G34" s="44"/>
      <c r="H34" s="44"/>
      <c r="I34" s="44"/>
    </row>
    <row r="35" ht="18.75" customHeight="1">
      <c r="B35" s="178">
        <v>24.0</v>
      </c>
      <c r="C35" s="82" t="s">
        <v>748</v>
      </c>
      <c r="D35" s="6"/>
      <c r="F35" s="44"/>
      <c r="G35" s="44"/>
      <c r="H35" s="44"/>
      <c r="I35" s="44"/>
    </row>
    <row r="36" ht="18.75" customHeight="1">
      <c r="B36" s="184">
        <v>25.0</v>
      </c>
      <c r="C36" s="180" t="s">
        <v>749</v>
      </c>
      <c r="D36" s="6"/>
      <c r="F36" s="44"/>
      <c r="G36" s="44"/>
      <c r="H36" s="44"/>
      <c r="I36" s="44"/>
    </row>
    <row r="37" ht="18.75" customHeight="1">
      <c r="B37" s="181">
        <v>26.0</v>
      </c>
      <c r="C37" s="82" t="s">
        <v>750</v>
      </c>
      <c r="D37" s="6"/>
      <c r="F37" s="44"/>
      <c r="G37" s="44"/>
      <c r="H37" s="44"/>
      <c r="I37" s="44"/>
    </row>
    <row r="38" ht="18.75" customHeight="1">
      <c r="B38" s="181">
        <v>27.0</v>
      </c>
      <c r="C38" s="180" t="s">
        <v>751</v>
      </c>
      <c r="D38" s="6"/>
      <c r="F38" s="44"/>
      <c r="G38" s="44"/>
      <c r="H38" s="44"/>
      <c r="I38" s="44"/>
    </row>
    <row r="39" ht="18.75" customHeight="1">
      <c r="B39" s="168"/>
    </row>
    <row r="40" ht="18.75" customHeight="1">
      <c r="B40" s="168"/>
    </row>
    <row r="41" ht="18.75" customHeight="1">
      <c r="B41" s="168"/>
    </row>
    <row r="42" ht="18.75" customHeight="1">
      <c r="B42" s="168"/>
    </row>
    <row r="43" ht="18.75" customHeight="1">
      <c r="B43" s="168"/>
    </row>
    <row r="44" ht="18.75" customHeight="1">
      <c r="B44" s="168"/>
    </row>
    <row r="45" ht="18.75" customHeight="1">
      <c r="B45" s="168"/>
    </row>
    <row r="46" ht="18.75" customHeight="1">
      <c r="B46" s="168"/>
    </row>
    <row r="47" ht="18.75" customHeight="1">
      <c r="B47" s="168"/>
    </row>
    <row r="48" ht="18.75" customHeight="1">
      <c r="B48" s="168"/>
    </row>
    <row r="49" ht="18.75" customHeight="1">
      <c r="B49" s="168"/>
    </row>
    <row r="50" ht="18.75" customHeight="1">
      <c r="B50" s="168"/>
    </row>
    <row r="51" ht="18.75" customHeight="1">
      <c r="B51" s="168"/>
    </row>
    <row r="52" ht="18.75" customHeight="1">
      <c r="B52" s="168"/>
    </row>
    <row r="53" ht="18.75" customHeight="1">
      <c r="B53" s="168"/>
    </row>
    <row r="54" ht="18.75" customHeight="1">
      <c r="B54" s="168"/>
    </row>
    <row r="55" ht="18.75" customHeight="1">
      <c r="B55" s="168"/>
    </row>
    <row r="56" ht="18.75" customHeight="1">
      <c r="B56" s="168"/>
    </row>
    <row r="57" ht="18.75" customHeight="1">
      <c r="B57" s="168"/>
    </row>
    <row r="58" ht="18.75" customHeight="1">
      <c r="B58" s="168"/>
    </row>
    <row r="59" ht="18.75" customHeight="1">
      <c r="B59" s="168"/>
    </row>
    <row r="60" ht="18.75" customHeight="1">
      <c r="B60" s="168"/>
    </row>
    <row r="61" ht="18.75" customHeight="1">
      <c r="B61" s="168"/>
    </row>
    <row r="62" ht="18.75" customHeight="1">
      <c r="B62" s="168"/>
    </row>
    <row r="63" ht="18.75" customHeight="1">
      <c r="B63" s="168"/>
    </row>
    <row r="64" ht="18.75" customHeight="1">
      <c r="B64" s="168"/>
    </row>
    <row r="65" ht="18.75" customHeight="1">
      <c r="B65" s="168"/>
    </row>
    <row r="66" ht="18.75" customHeight="1">
      <c r="B66" s="168"/>
    </row>
    <row r="67" ht="18.75" customHeight="1">
      <c r="B67" s="168"/>
    </row>
    <row r="68" ht="18.75" customHeight="1">
      <c r="B68" s="168"/>
    </row>
    <row r="69" ht="18.75" customHeight="1">
      <c r="B69" s="168"/>
    </row>
    <row r="70" ht="18.75" customHeight="1">
      <c r="B70" s="168"/>
    </row>
    <row r="71" ht="18.75" customHeight="1">
      <c r="B71" s="168"/>
    </row>
    <row r="72" ht="18.75" customHeight="1">
      <c r="B72" s="168"/>
    </row>
    <row r="73" ht="18.75" customHeight="1">
      <c r="B73" s="168"/>
    </row>
    <row r="74" ht="18.75" customHeight="1">
      <c r="B74" s="168"/>
    </row>
    <row r="75" ht="18.75" customHeight="1">
      <c r="B75" s="168"/>
    </row>
    <row r="76" ht="18.75" customHeight="1">
      <c r="B76" s="168"/>
    </row>
    <row r="77" ht="18.75" customHeight="1">
      <c r="B77" s="168"/>
    </row>
    <row r="78" ht="18.75" customHeight="1">
      <c r="B78" s="168"/>
    </row>
    <row r="79" ht="18.75" customHeight="1">
      <c r="B79" s="168"/>
    </row>
    <row r="80" ht="18.75" customHeight="1">
      <c r="B80" s="168"/>
    </row>
    <row r="81" ht="18.75" customHeight="1">
      <c r="B81" s="168"/>
    </row>
    <row r="82" ht="18.75" customHeight="1">
      <c r="B82" s="168"/>
    </row>
    <row r="83" ht="18.75" customHeight="1">
      <c r="B83" s="168"/>
    </row>
    <row r="84" ht="18.75" customHeight="1">
      <c r="B84" s="168"/>
    </row>
    <row r="85" ht="18.75" customHeight="1">
      <c r="B85" s="168"/>
    </row>
    <row r="86" ht="18.75" customHeight="1">
      <c r="B86" s="168"/>
    </row>
    <row r="87" ht="18.75" customHeight="1">
      <c r="B87" s="168"/>
    </row>
    <row r="88" ht="18.75" customHeight="1">
      <c r="B88" s="168"/>
    </row>
    <row r="89" ht="18.75" customHeight="1">
      <c r="B89" s="168"/>
    </row>
    <row r="90" ht="18.75" customHeight="1">
      <c r="B90" s="168"/>
    </row>
    <row r="91" ht="18.75" customHeight="1">
      <c r="B91" s="168"/>
    </row>
    <row r="92" ht="18.75" customHeight="1">
      <c r="B92" s="168"/>
    </row>
    <row r="93" ht="18.75" customHeight="1">
      <c r="B93" s="168"/>
    </row>
    <row r="94" ht="18.75" customHeight="1">
      <c r="B94" s="168"/>
    </row>
    <row r="95" ht="18.75" customHeight="1">
      <c r="B95" s="168"/>
    </row>
    <row r="96" ht="18.75" customHeight="1">
      <c r="B96" s="168"/>
    </row>
    <row r="97" ht="18.75" customHeight="1">
      <c r="B97" s="168"/>
    </row>
    <row r="98" ht="18.75" customHeight="1">
      <c r="B98" s="168"/>
    </row>
    <row r="99" ht="18.75" customHeight="1">
      <c r="B99" s="168"/>
    </row>
    <row r="100" ht="18.75" customHeight="1">
      <c r="B100" s="168"/>
    </row>
    <row r="101" ht="18.75" customHeight="1">
      <c r="B101" s="168"/>
    </row>
    <row r="102" ht="18.75" customHeight="1">
      <c r="B102" s="168"/>
    </row>
    <row r="103" ht="18.75" customHeight="1">
      <c r="B103" s="168"/>
    </row>
    <row r="104" ht="18.75" customHeight="1">
      <c r="B104" s="168"/>
    </row>
    <row r="105" ht="18.75" customHeight="1">
      <c r="B105" s="168"/>
    </row>
    <row r="106" ht="18.75" customHeight="1">
      <c r="B106" s="168"/>
    </row>
    <row r="107" ht="18.75" customHeight="1">
      <c r="B107" s="168"/>
    </row>
    <row r="108" ht="18.75" customHeight="1">
      <c r="B108" s="168"/>
    </row>
    <row r="109" ht="18.75" customHeight="1">
      <c r="B109" s="168"/>
    </row>
    <row r="110" ht="18.75" customHeight="1">
      <c r="B110" s="168"/>
    </row>
    <row r="111" ht="18.75" customHeight="1">
      <c r="B111" s="168"/>
    </row>
    <row r="112" ht="18.75" customHeight="1">
      <c r="B112" s="168"/>
    </row>
    <row r="113" ht="18.75" customHeight="1">
      <c r="B113" s="168"/>
    </row>
    <row r="114" ht="18.75" customHeight="1">
      <c r="B114" s="168"/>
    </row>
    <row r="115" ht="18.75" customHeight="1">
      <c r="B115" s="168"/>
    </row>
    <row r="116" ht="18.75" customHeight="1">
      <c r="B116" s="168"/>
    </row>
    <row r="117" ht="18.75" customHeight="1">
      <c r="B117" s="168"/>
    </row>
    <row r="118" ht="18.75" customHeight="1">
      <c r="B118" s="168"/>
    </row>
    <row r="119" ht="18.75" customHeight="1">
      <c r="B119" s="168"/>
    </row>
    <row r="120" ht="18.75" customHeight="1">
      <c r="B120" s="168"/>
    </row>
    <row r="121" ht="18.75" customHeight="1">
      <c r="B121" s="168"/>
    </row>
    <row r="122" ht="18.75" customHeight="1">
      <c r="B122" s="168"/>
    </row>
    <row r="123" ht="18.75" customHeight="1">
      <c r="B123" s="168"/>
    </row>
    <row r="124" ht="18.75" customHeight="1">
      <c r="B124" s="168"/>
    </row>
    <row r="125" ht="18.75" customHeight="1">
      <c r="B125" s="168"/>
    </row>
    <row r="126" ht="18.75" customHeight="1">
      <c r="B126" s="168"/>
    </row>
    <row r="127" ht="18.75" customHeight="1">
      <c r="B127" s="168"/>
    </row>
    <row r="128" ht="18.75" customHeight="1">
      <c r="B128" s="168"/>
    </row>
    <row r="129" ht="18.75" customHeight="1">
      <c r="B129" s="168"/>
    </row>
    <row r="130" ht="18.75" customHeight="1">
      <c r="B130" s="168"/>
    </row>
    <row r="131" ht="18.75" customHeight="1">
      <c r="B131" s="168"/>
    </row>
    <row r="132" ht="18.75" customHeight="1">
      <c r="B132" s="168"/>
    </row>
    <row r="133" ht="18.75" customHeight="1">
      <c r="B133" s="168"/>
    </row>
    <row r="134" ht="18.75" customHeight="1">
      <c r="B134" s="168"/>
    </row>
    <row r="135" ht="18.75" customHeight="1">
      <c r="B135" s="168"/>
    </row>
    <row r="136" ht="18.75" customHeight="1">
      <c r="B136" s="168"/>
    </row>
    <row r="137" ht="18.75" customHeight="1">
      <c r="B137" s="168"/>
    </row>
    <row r="138" ht="18.75" customHeight="1">
      <c r="B138" s="168"/>
    </row>
    <row r="139" ht="18.75" customHeight="1">
      <c r="B139" s="168"/>
    </row>
    <row r="140" ht="18.75" customHeight="1">
      <c r="B140" s="168"/>
    </row>
    <row r="141" ht="18.75" customHeight="1">
      <c r="B141" s="168"/>
    </row>
    <row r="142" ht="18.75" customHeight="1">
      <c r="B142" s="168"/>
    </row>
    <row r="143" ht="18.75" customHeight="1">
      <c r="B143" s="168"/>
    </row>
    <row r="144" ht="18.75" customHeight="1">
      <c r="B144" s="168"/>
    </row>
    <row r="145" ht="18.75" customHeight="1">
      <c r="B145" s="168"/>
    </row>
    <row r="146" ht="18.75" customHeight="1">
      <c r="B146" s="168"/>
    </row>
    <row r="147" ht="18.75" customHeight="1">
      <c r="B147" s="168"/>
    </row>
    <row r="148" ht="18.75" customHeight="1">
      <c r="B148" s="168"/>
    </row>
    <row r="149" ht="18.75" customHeight="1">
      <c r="B149" s="168"/>
    </row>
    <row r="150" ht="18.75" customHeight="1">
      <c r="B150" s="168"/>
    </row>
    <row r="151" ht="18.75" customHeight="1">
      <c r="B151" s="168"/>
    </row>
    <row r="152" ht="18.75" customHeight="1">
      <c r="B152" s="168"/>
    </row>
    <row r="153" ht="18.75" customHeight="1">
      <c r="B153" s="168"/>
    </row>
    <row r="154" ht="18.75" customHeight="1">
      <c r="B154" s="168"/>
    </row>
    <row r="155" ht="18.75" customHeight="1">
      <c r="B155" s="168"/>
    </row>
    <row r="156" ht="18.75" customHeight="1">
      <c r="B156" s="168"/>
    </row>
    <row r="157" ht="18.75" customHeight="1">
      <c r="B157" s="168"/>
    </row>
    <row r="158" ht="18.75" customHeight="1">
      <c r="B158" s="168"/>
    </row>
    <row r="159" ht="18.75" customHeight="1">
      <c r="B159" s="168"/>
    </row>
    <row r="160" ht="18.75" customHeight="1">
      <c r="B160" s="168"/>
    </row>
    <row r="161" ht="18.75" customHeight="1">
      <c r="B161" s="168"/>
    </row>
    <row r="162" ht="18.75" customHeight="1">
      <c r="B162" s="168"/>
    </row>
    <row r="163" ht="18.75" customHeight="1">
      <c r="B163" s="168"/>
    </row>
    <row r="164" ht="18.75" customHeight="1">
      <c r="B164" s="168"/>
    </row>
    <row r="165" ht="18.75" customHeight="1">
      <c r="B165" s="168"/>
    </row>
    <row r="166" ht="18.75" customHeight="1">
      <c r="B166" s="168"/>
    </row>
    <row r="167" ht="18.75" customHeight="1">
      <c r="B167" s="168"/>
    </row>
    <row r="168" ht="18.75" customHeight="1">
      <c r="B168" s="168"/>
    </row>
    <row r="169" ht="18.75" customHeight="1">
      <c r="B169" s="168"/>
    </row>
    <row r="170" ht="18.75" customHeight="1">
      <c r="B170" s="168"/>
    </row>
    <row r="171" ht="18.75" customHeight="1">
      <c r="B171" s="168"/>
    </row>
    <row r="172" ht="18.75" customHeight="1">
      <c r="B172" s="168"/>
    </row>
    <row r="173" ht="18.75" customHeight="1">
      <c r="B173" s="168"/>
    </row>
    <row r="174" ht="18.75" customHeight="1">
      <c r="B174" s="168"/>
    </row>
    <row r="175" ht="18.75" customHeight="1">
      <c r="B175" s="168"/>
    </row>
    <row r="176" ht="18.75" customHeight="1">
      <c r="B176" s="168"/>
    </row>
    <row r="177" ht="18.75" customHeight="1">
      <c r="B177" s="168"/>
    </row>
    <row r="178" ht="18.75" customHeight="1">
      <c r="B178" s="168"/>
    </row>
    <row r="179" ht="18.75" customHeight="1">
      <c r="B179" s="168"/>
    </row>
    <row r="180" ht="18.75" customHeight="1">
      <c r="B180" s="168"/>
    </row>
    <row r="181" ht="18.75" customHeight="1">
      <c r="B181" s="168"/>
    </row>
    <row r="182" ht="18.75" customHeight="1">
      <c r="B182" s="168"/>
    </row>
    <row r="183" ht="18.75" customHeight="1">
      <c r="B183" s="168"/>
    </row>
    <row r="184" ht="18.75" customHeight="1">
      <c r="B184" s="168"/>
    </row>
    <row r="185" ht="18.75" customHeight="1">
      <c r="B185" s="168"/>
    </row>
    <row r="186" ht="18.75" customHeight="1">
      <c r="B186" s="168"/>
    </row>
    <row r="187" ht="18.75" customHeight="1">
      <c r="B187" s="168"/>
    </row>
    <row r="188" ht="18.75" customHeight="1">
      <c r="B188" s="168"/>
    </row>
    <row r="189" ht="18.75" customHeight="1">
      <c r="B189" s="168"/>
    </row>
    <row r="190" ht="18.75" customHeight="1">
      <c r="B190" s="168"/>
    </row>
    <row r="191" ht="18.75" customHeight="1">
      <c r="B191" s="168"/>
    </row>
    <row r="192" ht="18.75" customHeight="1">
      <c r="B192" s="168"/>
    </row>
    <row r="193" ht="18.75" customHeight="1">
      <c r="B193" s="168"/>
    </row>
    <row r="194" ht="18.75" customHeight="1">
      <c r="B194" s="168"/>
    </row>
    <row r="195" ht="18.75" customHeight="1">
      <c r="B195" s="168"/>
    </row>
    <row r="196" ht="18.75" customHeight="1">
      <c r="B196" s="168"/>
    </row>
    <row r="197" ht="18.75" customHeight="1">
      <c r="B197" s="168"/>
    </row>
    <row r="198" ht="18.75" customHeight="1">
      <c r="B198" s="168"/>
    </row>
    <row r="199" ht="18.75" customHeight="1">
      <c r="B199" s="168"/>
    </row>
    <row r="200" ht="18.75" customHeight="1">
      <c r="B200" s="168"/>
    </row>
    <row r="201" ht="18.75" customHeight="1">
      <c r="B201" s="168"/>
    </row>
    <row r="202" ht="18.75" customHeight="1">
      <c r="B202" s="168"/>
    </row>
    <row r="203" ht="18.75" customHeight="1">
      <c r="B203" s="168"/>
    </row>
    <row r="204" ht="18.75" customHeight="1">
      <c r="B204" s="168"/>
    </row>
    <row r="205" ht="18.75" customHeight="1">
      <c r="B205" s="168"/>
    </row>
    <row r="206" ht="18.75" customHeight="1">
      <c r="B206" s="168"/>
    </row>
    <row r="207" ht="18.75" customHeight="1">
      <c r="B207" s="168"/>
    </row>
    <row r="208" ht="18.75" customHeight="1">
      <c r="B208" s="168"/>
    </row>
    <row r="209" ht="18.75" customHeight="1">
      <c r="B209" s="168"/>
    </row>
    <row r="210" ht="18.75" customHeight="1">
      <c r="B210" s="168"/>
    </row>
    <row r="211" ht="18.75" customHeight="1">
      <c r="B211" s="168"/>
    </row>
    <row r="212" ht="18.75" customHeight="1">
      <c r="B212" s="168"/>
    </row>
    <row r="213" ht="18.75" customHeight="1">
      <c r="B213" s="168"/>
    </row>
    <row r="214" ht="18.75" customHeight="1">
      <c r="B214" s="168"/>
    </row>
    <row r="215" ht="18.75" customHeight="1">
      <c r="B215" s="168"/>
    </row>
    <row r="216" ht="18.75" customHeight="1">
      <c r="B216" s="168"/>
    </row>
    <row r="217" ht="18.75" customHeight="1">
      <c r="B217" s="168"/>
    </row>
    <row r="218" ht="18.75" customHeight="1">
      <c r="B218" s="168"/>
    </row>
    <row r="219" ht="18.75" customHeight="1">
      <c r="B219" s="168"/>
    </row>
    <row r="220" ht="18.75" customHeight="1">
      <c r="B220" s="168"/>
    </row>
    <row r="221" ht="18.75" customHeight="1">
      <c r="B221" s="168"/>
    </row>
    <row r="222" ht="18.75" customHeight="1">
      <c r="B222" s="168"/>
    </row>
    <row r="223" ht="18.75" customHeight="1">
      <c r="B223" s="168"/>
    </row>
    <row r="224" ht="18.75" customHeight="1">
      <c r="B224" s="168"/>
    </row>
    <row r="225" ht="18.75" customHeight="1">
      <c r="B225" s="168"/>
    </row>
    <row r="226" ht="18.75" customHeight="1">
      <c r="B226" s="168"/>
    </row>
    <row r="227" ht="18.75" customHeight="1">
      <c r="B227" s="168"/>
    </row>
    <row r="228" ht="18.75" customHeight="1">
      <c r="B228" s="168"/>
    </row>
    <row r="229" ht="18.75" customHeight="1">
      <c r="B229" s="168"/>
    </row>
    <row r="230" ht="18.75" customHeight="1">
      <c r="B230" s="168"/>
    </row>
    <row r="231" ht="18.75" customHeight="1">
      <c r="B231" s="168"/>
    </row>
    <row r="232" ht="18.75" customHeight="1">
      <c r="B232" s="168"/>
    </row>
    <row r="233" ht="18.75" customHeight="1">
      <c r="B233" s="168"/>
    </row>
    <row r="234" ht="18.75" customHeight="1">
      <c r="B234" s="168"/>
    </row>
    <row r="235" ht="18.75" customHeight="1">
      <c r="B235" s="168"/>
    </row>
    <row r="236" ht="18.75" customHeight="1">
      <c r="B236" s="168"/>
    </row>
    <row r="237" ht="18.75" customHeight="1">
      <c r="B237" s="168"/>
    </row>
    <row r="238" ht="18.75" customHeight="1">
      <c r="B238" s="168"/>
    </row>
    <row r="239" ht="18.75" customHeight="1">
      <c r="B239" s="168"/>
    </row>
    <row r="240" ht="18.75" customHeight="1">
      <c r="B240" s="168"/>
    </row>
    <row r="241" ht="18.75" customHeight="1">
      <c r="B241" s="168"/>
    </row>
    <row r="242" ht="18.75" customHeight="1">
      <c r="B242" s="168"/>
    </row>
    <row r="243" ht="18.75" customHeight="1">
      <c r="B243" s="168"/>
    </row>
    <row r="244" ht="18.75" customHeight="1">
      <c r="B244" s="168"/>
    </row>
    <row r="245" ht="18.75" customHeight="1">
      <c r="B245" s="168"/>
    </row>
    <row r="246" ht="18.75" customHeight="1">
      <c r="B246" s="168"/>
    </row>
    <row r="247" ht="18.75" customHeight="1">
      <c r="B247" s="168"/>
    </row>
    <row r="248" ht="18.75" customHeight="1">
      <c r="B248" s="168"/>
    </row>
    <row r="249" ht="18.75" customHeight="1">
      <c r="B249" s="168"/>
    </row>
    <row r="250" ht="18.75" customHeight="1">
      <c r="B250" s="168"/>
    </row>
    <row r="251" ht="18.75" customHeight="1">
      <c r="B251" s="168"/>
    </row>
    <row r="252" ht="18.75" customHeight="1">
      <c r="B252" s="168"/>
    </row>
    <row r="253" ht="18.75" customHeight="1">
      <c r="B253" s="168"/>
    </row>
    <row r="254" ht="18.75" customHeight="1">
      <c r="B254" s="168"/>
    </row>
    <row r="255" ht="18.75" customHeight="1">
      <c r="B255" s="168"/>
    </row>
    <row r="256" ht="18.75" customHeight="1">
      <c r="B256" s="168"/>
    </row>
    <row r="257" ht="18.75" customHeight="1">
      <c r="B257" s="168"/>
    </row>
    <row r="258" ht="18.75" customHeight="1">
      <c r="B258" s="168"/>
    </row>
    <row r="259" ht="18.75" customHeight="1">
      <c r="B259" s="168"/>
    </row>
    <row r="260" ht="18.75" customHeight="1">
      <c r="B260" s="168"/>
    </row>
    <row r="261" ht="18.75" customHeight="1">
      <c r="B261" s="168"/>
    </row>
    <row r="262" ht="18.75" customHeight="1">
      <c r="B262" s="168"/>
    </row>
    <row r="263" ht="18.75" customHeight="1">
      <c r="B263" s="168"/>
    </row>
    <row r="264" ht="18.75" customHeight="1">
      <c r="B264" s="168"/>
    </row>
    <row r="265" ht="18.75" customHeight="1">
      <c r="B265" s="168"/>
    </row>
    <row r="266" ht="18.75" customHeight="1">
      <c r="B266" s="168"/>
    </row>
    <row r="267" ht="18.75" customHeight="1">
      <c r="B267" s="168"/>
    </row>
    <row r="268" ht="18.75" customHeight="1">
      <c r="B268" s="168"/>
    </row>
    <row r="269" ht="18.75" customHeight="1">
      <c r="B269" s="168"/>
    </row>
    <row r="270" ht="18.75" customHeight="1">
      <c r="B270" s="168"/>
    </row>
    <row r="271" ht="18.75" customHeight="1">
      <c r="B271" s="168"/>
    </row>
    <row r="272" ht="18.75" customHeight="1">
      <c r="B272" s="168"/>
    </row>
    <row r="273" ht="18.75" customHeight="1">
      <c r="B273" s="168"/>
    </row>
    <row r="274" ht="18.75" customHeight="1">
      <c r="B274" s="168"/>
    </row>
    <row r="275" ht="18.75" customHeight="1">
      <c r="B275" s="168"/>
    </row>
    <row r="276" ht="18.75" customHeight="1">
      <c r="B276" s="168"/>
    </row>
    <row r="277" ht="18.75" customHeight="1">
      <c r="B277" s="168"/>
    </row>
    <row r="278" ht="18.75" customHeight="1">
      <c r="B278" s="168"/>
    </row>
    <row r="279" ht="18.75" customHeight="1">
      <c r="B279" s="168"/>
    </row>
    <row r="280" ht="18.75" customHeight="1">
      <c r="B280" s="168"/>
    </row>
    <row r="281" ht="18.75" customHeight="1">
      <c r="B281" s="168"/>
    </row>
    <row r="282" ht="18.75" customHeight="1">
      <c r="B282" s="168"/>
    </row>
    <row r="283" ht="18.75" customHeight="1">
      <c r="B283" s="168"/>
    </row>
    <row r="284" ht="18.75" customHeight="1">
      <c r="B284" s="168"/>
    </row>
    <row r="285" ht="18.75" customHeight="1">
      <c r="B285" s="168"/>
    </row>
    <row r="286" ht="18.75" customHeight="1">
      <c r="B286" s="168"/>
    </row>
    <row r="287" ht="18.75" customHeight="1">
      <c r="B287" s="168"/>
    </row>
    <row r="288" ht="18.75" customHeight="1">
      <c r="B288" s="168"/>
    </row>
    <row r="289" ht="18.75" customHeight="1">
      <c r="B289" s="168"/>
    </row>
    <row r="290" ht="18.75" customHeight="1">
      <c r="B290" s="168"/>
    </row>
    <row r="291" ht="18.75" customHeight="1">
      <c r="B291" s="168"/>
    </row>
    <row r="292" ht="18.75" customHeight="1">
      <c r="B292" s="168"/>
    </row>
    <row r="293" ht="18.75" customHeight="1">
      <c r="B293" s="168"/>
    </row>
    <row r="294" ht="18.75" customHeight="1">
      <c r="B294" s="168"/>
    </row>
    <row r="295" ht="18.75" customHeight="1">
      <c r="B295" s="168"/>
    </row>
    <row r="296" ht="18.75" customHeight="1">
      <c r="B296" s="168"/>
    </row>
    <row r="297" ht="18.75" customHeight="1">
      <c r="B297" s="168"/>
    </row>
    <row r="298" ht="18.75" customHeight="1">
      <c r="B298" s="168"/>
    </row>
    <row r="299" ht="18.75" customHeight="1">
      <c r="B299" s="168"/>
    </row>
    <row r="300" ht="18.75" customHeight="1">
      <c r="B300" s="168"/>
    </row>
    <row r="301" ht="18.75" customHeight="1">
      <c r="B301" s="168"/>
    </row>
    <row r="302" ht="18.75" customHeight="1">
      <c r="B302" s="168"/>
    </row>
    <row r="303" ht="18.75" customHeight="1">
      <c r="B303" s="168"/>
    </row>
    <row r="304" ht="18.75" customHeight="1">
      <c r="B304" s="168"/>
    </row>
    <row r="305" ht="18.75" customHeight="1">
      <c r="B305" s="168"/>
    </row>
    <row r="306" ht="18.75" customHeight="1">
      <c r="B306" s="168"/>
    </row>
    <row r="307" ht="18.75" customHeight="1">
      <c r="B307" s="168"/>
    </row>
    <row r="308" ht="18.75" customHeight="1">
      <c r="B308" s="168"/>
    </row>
    <row r="309" ht="18.75" customHeight="1">
      <c r="B309" s="168"/>
    </row>
    <row r="310" ht="18.75" customHeight="1">
      <c r="B310" s="168"/>
    </row>
    <row r="311" ht="18.75" customHeight="1">
      <c r="B311" s="168"/>
    </row>
    <row r="312" ht="18.75" customHeight="1">
      <c r="B312" s="168"/>
    </row>
    <row r="313" ht="18.75" customHeight="1">
      <c r="B313" s="168"/>
    </row>
    <row r="314" ht="18.75" customHeight="1">
      <c r="B314" s="168"/>
    </row>
    <row r="315" ht="18.75" customHeight="1">
      <c r="B315" s="168"/>
    </row>
    <row r="316" ht="18.75" customHeight="1">
      <c r="B316" s="168"/>
    </row>
    <row r="317" ht="18.75" customHeight="1">
      <c r="B317" s="168"/>
    </row>
    <row r="318" ht="18.75" customHeight="1">
      <c r="B318" s="168"/>
    </row>
    <row r="319" ht="18.75" customHeight="1">
      <c r="B319" s="168"/>
    </row>
    <row r="320" ht="18.75" customHeight="1">
      <c r="B320" s="168"/>
    </row>
    <row r="321" ht="18.75" customHeight="1">
      <c r="B321" s="168"/>
    </row>
    <row r="322" ht="18.75" customHeight="1">
      <c r="B322" s="168"/>
    </row>
    <row r="323" ht="18.75" customHeight="1">
      <c r="B323" s="168"/>
    </row>
    <row r="324" ht="18.75" customHeight="1">
      <c r="B324" s="168"/>
    </row>
    <row r="325" ht="18.75" customHeight="1">
      <c r="B325" s="168"/>
    </row>
    <row r="326" ht="18.75" customHeight="1">
      <c r="B326" s="168"/>
    </row>
    <row r="327" ht="18.75" customHeight="1">
      <c r="B327" s="168"/>
    </row>
    <row r="328" ht="18.75" customHeight="1">
      <c r="B328" s="168"/>
    </row>
    <row r="329" ht="18.75" customHeight="1">
      <c r="B329" s="168"/>
    </row>
    <row r="330" ht="18.75" customHeight="1">
      <c r="B330" s="168"/>
    </row>
    <row r="331" ht="18.75" customHeight="1">
      <c r="B331" s="168"/>
    </row>
    <row r="332" ht="18.75" customHeight="1">
      <c r="B332" s="168"/>
    </row>
    <row r="333" ht="18.75" customHeight="1">
      <c r="B333" s="168"/>
    </row>
    <row r="334" ht="18.75" customHeight="1">
      <c r="B334" s="168"/>
    </row>
    <row r="335" ht="18.75" customHeight="1">
      <c r="B335" s="168"/>
    </row>
    <row r="336" ht="18.75" customHeight="1">
      <c r="B336" s="168"/>
    </row>
    <row r="337" ht="18.75" customHeight="1">
      <c r="B337" s="168"/>
    </row>
    <row r="338" ht="18.75" customHeight="1">
      <c r="B338" s="168"/>
    </row>
    <row r="339" ht="18.75" customHeight="1">
      <c r="B339" s="168"/>
    </row>
    <row r="340" ht="18.75" customHeight="1">
      <c r="B340" s="168"/>
    </row>
    <row r="341" ht="18.75" customHeight="1">
      <c r="B341" s="168"/>
    </row>
    <row r="342" ht="18.75" customHeight="1">
      <c r="B342" s="168"/>
    </row>
    <row r="343" ht="18.75" customHeight="1">
      <c r="B343" s="168"/>
    </row>
    <row r="344" ht="18.75" customHeight="1">
      <c r="B344" s="168"/>
    </row>
    <row r="345" ht="18.75" customHeight="1">
      <c r="B345" s="168"/>
    </row>
    <row r="346" ht="18.75" customHeight="1">
      <c r="B346" s="168"/>
    </row>
    <row r="347" ht="18.75" customHeight="1">
      <c r="B347" s="168"/>
    </row>
    <row r="348" ht="18.75" customHeight="1">
      <c r="B348" s="168"/>
    </row>
    <row r="349" ht="18.75" customHeight="1">
      <c r="B349" s="168"/>
    </row>
    <row r="350" ht="18.75" customHeight="1">
      <c r="B350" s="168"/>
    </row>
    <row r="351" ht="18.75" customHeight="1">
      <c r="B351" s="168"/>
    </row>
    <row r="352" ht="18.75" customHeight="1">
      <c r="B352" s="168"/>
    </row>
    <row r="353" ht="18.75" customHeight="1">
      <c r="B353" s="168"/>
    </row>
    <row r="354" ht="18.75" customHeight="1">
      <c r="B354" s="168"/>
    </row>
    <row r="355" ht="18.75" customHeight="1">
      <c r="B355" s="168"/>
    </row>
    <row r="356" ht="18.75" customHeight="1">
      <c r="B356" s="168"/>
    </row>
    <row r="357" ht="18.75" customHeight="1">
      <c r="B357" s="168"/>
    </row>
    <row r="358" ht="18.75" customHeight="1">
      <c r="B358" s="168"/>
    </row>
    <row r="359" ht="18.75" customHeight="1">
      <c r="B359" s="168"/>
    </row>
    <row r="360" ht="18.75" customHeight="1">
      <c r="B360" s="168"/>
    </row>
    <row r="361" ht="18.75" customHeight="1">
      <c r="B361" s="168"/>
    </row>
    <row r="362" ht="18.75" customHeight="1">
      <c r="B362" s="168"/>
    </row>
    <row r="363" ht="18.75" customHeight="1">
      <c r="B363" s="168"/>
    </row>
    <row r="364" ht="18.75" customHeight="1">
      <c r="B364" s="168"/>
    </row>
    <row r="365" ht="18.75" customHeight="1">
      <c r="B365" s="168"/>
    </row>
    <row r="366" ht="18.75" customHeight="1">
      <c r="B366" s="168"/>
    </row>
    <row r="367" ht="18.75" customHeight="1">
      <c r="B367" s="168"/>
    </row>
    <row r="368" ht="18.75" customHeight="1">
      <c r="B368" s="168"/>
    </row>
    <row r="369" ht="18.75" customHeight="1">
      <c r="B369" s="168"/>
    </row>
    <row r="370" ht="18.75" customHeight="1">
      <c r="B370" s="168"/>
    </row>
    <row r="371" ht="18.75" customHeight="1">
      <c r="B371" s="168"/>
    </row>
    <row r="372" ht="18.75" customHeight="1">
      <c r="B372" s="168"/>
    </row>
    <row r="373" ht="18.75" customHeight="1">
      <c r="B373" s="168"/>
    </row>
    <row r="374" ht="18.75" customHeight="1">
      <c r="B374" s="168"/>
    </row>
    <row r="375" ht="18.75" customHeight="1">
      <c r="B375" s="168"/>
    </row>
    <row r="376" ht="18.75" customHeight="1">
      <c r="B376" s="168"/>
    </row>
    <row r="377" ht="18.75" customHeight="1">
      <c r="B377" s="168"/>
    </row>
    <row r="378" ht="18.75" customHeight="1">
      <c r="B378" s="168"/>
    </row>
    <row r="379" ht="18.75" customHeight="1">
      <c r="B379" s="168"/>
    </row>
    <row r="380" ht="18.75" customHeight="1">
      <c r="B380" s="168"/>
    </row>
    <row r="381" ht="18.75" customHeight="1">
      <c r="B381" s="168"/>
    </row>
    <row r="382" ht="18.75" customHeight="1">
      <c r="B382" s="168"/>
    </row>
    <row r="383" ht="18.75" customHeight="1">
      <c r="B383" s="168"/>
    </row>
    <row r="384" ht="18.75" customHeight="1">
      <c r="B384" s="168"/>
    </row>
    <row r="385" ht="18.75" customHeight="1">
      <c r="B385" s="168"/>
    </row>
    <row r="386" ht="18.75" customHeight="1">
      <c r="B386" s="168"/>
    </row>
    <row r="387" ht="18.75" customHeight="1">
      <c r="B387" s="168"/>
    </row>
    <row r="388" ht="18.75" customHeight="1">
      <c r="B388" s="168"/>
    </row>
    <row r="389" ht="18.75" customHeight="1">
      <c r="B389" s="168"/>
    </row>
    <row r="390" ht="18.75" customHeight="1">
      <c r="B390" s="168"/>
    </row>
    <row r="391" ht="18.75" customHeight="1">
      <c r="B391" s="168"/>
    </row>
    <row r="392" ht="18.75" customHeight="1">
      <c r="B392" s="168"/>
    </row>
    <row r="393" ht="18.75" customHeight="1">
      <c r="B393" s="168"/>
    </row>
    <row r="394" ht="18.75" customHeight="1">
      <c r="B394" s="168"/>
    </row>
    <row r="395" ht="18.75" customHeight="1">
      <c r="B395" s="168"/>
    </row>
    <row r="396" ht="18.75" customHeight="1">
      <c r="B396" s="168"/>
    </row>
    <row r="397" ht="18.75" customHeight="1">
      <c r="B397" s="168"/>
    </row>
    <row r="398" ht="18.75" customHeight="1">
      <c r="B398" s="168"/>
    </row>
    <row r="399" ht="18.75" customHeight="1">
      <c r="B399" s="168"/>
    </row>
    <row r="400" ht="18.75" customHeight="1">
      <c r="B400" s="168"/>
    </row>
    <row r="401" ht="18.75" customHeight="1">
      <c r="B401" s="168"/>
    </row>
    <row r="402" ht="18.75" customHeight="1">
      <c r="B402" s="168"/>
    </row>
    <row r="403" ht="18.75" customHeight="1">
      <c r="B403" s="168"/>
    </row>
    <row r="404" ht="18.75" customHeight="1">
      <c r="B404" s="168"/>
    </row>
    <row r="405" ht="18.75" customHeight="1">
      <c r="B405" s="168"/>
    </row>
    <row r="406" ht="18.75" customHeight="1">
      <c r="B406" s="168"/>
    </row>
    <row r="407" ht="18.75" customHeight="1">
      <c r="B407" s="168"/>
    </row>
    <row r="408" ht="18.75" customHeight="1">
      <c r="B408" s="168"/>
    </row>
    <row r="409" ht="18.75" customHeight="1">
      <c r="B409" s="168"/>
    </row>
    <row r="410" ht="18.75" customHeight="1">
      <c r="B410" s="168"/>
    </row>
    <row r="411" ht="18.75" customHeight="1">
      <c r="B411" s="168"/>
    </row>
    <row r="412" ht="18.75" customHeight="1">
      <c r="B412" s="168"/>
    </row>
    <row r="413" ht="18.75" customHeight="1">
      <c r="B413" s="168"/>
    </row>
    <row r="414" ht="18.75" customHeight="1">
      <c r="B414" s="168"/>
    </row>
    <row r="415" ht="18.75" customHeight="1">
      <c r="B415" s="168"/>
    </row>
    <row r="416" ht="18.75" customHeight="1">
      <c r="B416" s="168"/>
    </row>
    <row r="417" ht="18.75" customHeight="1">
      <c r="B417" s="168"/>
    </row>
    <row r="418" ht="18.75" customHeight="1">
      <c r="B418" s="168"/>
    </row>
    <row r="419" ht="18.75" customHeight="1">
      <c r="B419" s="168"/>
    </row>
    <row r="420" ht="18.75" customHeight="1">
      <c r="B420" s="168"/>
    </row>
    <row r="421" ht="18.75" customHeight="1">
      <c r="B421" s="168"/>
    </row>
    <row r="422" ht="18.75" customHeight="1">
      <c r="B422" s="168"/>
    </row>
    <row r="423" ht="18.75" customHeight="1">
      <c r="B423" s="168"/>
    </row>
    <row r="424" ht="18.75" customHeight="1">
      <c r="B424" s="168"/>
    </row>
    <row r="425" ht="18.75" customHeight="1">
      <c r="B425" s="168"/>
    </row>
    <row r="426" ht="18.75" customHeight="1">
      <c r="B426" s="168"/>
    </row>
    <row r="427" ht="18.75" customHeight="1">
      <c r="B427" s="168"/>
    </row>
    <row r="428" ht="18.75" customHeight="1">
      <c r="B428" s="168"/>
    </row>
    <row r="429" ht="18.75" customHeight="1">
      <c r="B429" s="168"/>
    </row>
    <row r="430" ht="18.75" customHeight="1">
      <c r="B430" s="168"/>
    </row>
    <row r="431" ht="18.75" customHeight="1">
      <c r="B431" s="168"/>
    </row>
    <row r="432" ht="18.75" customHeight="1">
      <c r="B432" s="168"/>
    </row>
    <row r="433" ht="18.75" customHeight="1">
      <c r="B433" s="168"/>
    </row>
    <row r="434" ht="18.75" customHeight="1">
      <c r="B434" s="168"/>
    </row>
    <row r="435" ht="18.75" customHeight="1">
      <c r="B435" s="168"/>
    </row>
    <row r="436" ht="18.75" customHeight="1">
      <c r="B436" s="168"/>
    </row>
    <row r="437" ht="18.75" customHeight="1">
      <c r="B437" s="168"/>
    </row>
    <row r="438" ht="18.75" customHeight="1">
      <c r="B438" s="168"/>
    </row>
    <row r="439" ht="18.75" customHeight="1">
      <c r="B439" s="168"/>
    </row>
    <row r="440" ht="18.75" customHeight="1">
      <c r="B440" s="168"/>
    </row>
    <row r="441" ht="18.75" customHeight="1">
      <c r="B441" s="168"/>
    </row>
    <row r="442" ht="18.75" customHeight="1">
      <c r="B442" s="168"/>
    </row>
    <row r="443" ht="18.75" customHeight="1">
      <c r="B443" s="168"/>
    </row>
    <row r="444" ht="18.75" customHeight="1">
      <c r="B444" s="168"/>
    </row>
    <row r="445" ht="18.75" customHeight="1">
      <c r="B445" s="168"/>
    </row>
    <row r="446" ht="18.75" customHeight="1">
      <c r="B446" s="168"/>
    </row>
    <row r="447" ht="18.75" customHeight="1">
      <c r="B447" s="168"/>
    </row>
    <row r="448" ht="18.75" customHeight="1">
      <c r="B448" s="168"/>
    </row>
    <row r="449" ht="18.75" customHeight="1">
      <c r="B449" s="168"/>
    </row>
    <row r="450" ht="18.75" customHeight="1">
      <c r="B450" s="168"/>
    </row>
    <row r="451" ht="18.75" customHeight="1">
      <c r="B451" s="168"/>
    </row>
    <row r="452" ht="18.75" customHeight="1">
      <c r="B452" s="168"/>
    </row>
    <row r="453" ht="18.75" customHeight="1">
      <c r="B453" s="168"/>
    </row>
    <row r="454" ht="18.75" customHeight="1">
      <c r="B454" s="168"/>
    </row>
    <row r="455" ht="18.75" customHeight="1">
      <c r="B455" s="168"/>
    </row>
    <row r="456" ht="18.75" customHeight="1">
      <c r="B456" s="168"/>
    </row>
    <row r="457" ht="18.75" customHeight="1">
      <c r="B457" s="168"/>
    </row>
    <row r="458" ht="18.75" customHeight="1">
      <c r="B458" s="168"/>
    </row>
    <row r="459" ht="18.75" customHeight="1">
      <c r="B459" s="168"/>
    </row>
    <row r="460" ht="18.75" customHeight="1">
      <c r="B460" s="168"/>
    </row>
    <row r="461" ht="18.75" customHeight="1">
      <c r="B461" s="168"/>
    </row>
    <row r="462" ht="18.75" customHeight="1">
      <c r="B462" s="168"/>
    </row>
    <row r="463" ht="18.75" customHeight="1">
      <c r="B463" s="168"/>
    </row>
    <row r="464" ht="18.75" customHeight="1">
      <c r="B464" s="168"/>
    </row>
    <row r="465" ht="18.75" customHeight="1">
      <c r="B465" s="168"/>
    </row>
    <row r="466" ht="18.75" customHeight="1">
      <c r="B466" s="168"/>
    </row>
    <row r="467" ht="18.75" customHeight="1">
      <c r="B467" s="168"/>
    </row>
    <row r="468" ht="18.75" customHeight="1">
      <c r="B468" s="168"/>
    </row>
    <row r="469" ht="18.75" customHeight="1">
      <c r="B469" s="168"/>
    </row>
    <row r="470" ht="18.75" customHeight="1">
      <c r="B470" s="168"/>
    </row>
    <row r="471" ht="18.75" customHeight="1">
      <c r="B471" s="168"/>
    </row>
    <row r="472" ht="18.75" customHeight="1">
      <c r="B472" s="168"/>
    </row>
    <row r="473" ht="18.75" customHeight="1">
      <c r="B473" s="168"/>
    </row>
    <row r="474" ht="18.75" customHeight="1">
      <c r="B474" s="168"/>
    </row>
    <row r="475" ht="18.75" customHeight="1">
      <c r="B475" s="168"/>
    </row>
    <row r="476" ht="18.75" customHeight="1">
      <c r="B476" s="168"/>
    </row>
    <row r="477" ht="18.75" customHeight="1">
      <c r="B477" s="168"/>
    </row>
    <row r="478" ht="18.75" customHeight="1">
      <c r="B478" s="168"/>
    </row>
    <row r="479" ht="18.75" customHeight="1">
      <c r="B479" s="168"/>
    </row>
    <row r="480" ht="18.75" customHeight="1">
      <c r="B480" s="168"/>
    </row>
    <row r="481" ht="18.75" customHeight="1">
      <c r="B481" s="168"/>
    </row>
    <row r="482" ht="18.75" customHeight="1">
      <c r="B482" s="168"/>
    </row>
    <row r="483" ht="18.75" customHeight="1">
      <c r="B483" s="168"/>
    </row>
    <row r="484" ht="18.75" customHeight="1">
      <c r="B484" s="168"/>
    </row>
    <row r="485" ht="18.75" customHeight="1">
      <c r="B485" s="168"/>
    </row>
    <row r="486" ht="18.75" customHeight="1">
      <c r="B486" s="168"/>
    </row>
    <row r="487" ht="18.75" customHeight="1">
      <c r="B487" s="168"/>
    </row>
    <row r="488" ht="18.75" customHeight="1">
      <c r="B488" s="168"/>
    </row>
    <row r="489" ht="18.75" customHeight="1">
      <c r="B489" s="168"/>
    </row>
    <row r="490" ht="18.75" customHeight="1">
      <c r="B490" s="168"/>
    </row>
    <row r="491" ht="18.75" customHeight="1">
      <c r="B491" s="168"/>
    </row>
    <row r="492" ht="18.75" customHeight="1">
      <c r="B492" s="168"/>
    </row>
    <row r="493" ht="18.75" customHeight="1">
      <c r="B493" s="168"/>
    </row>
    <row r="494" ht="18.75" customHeight="1">
      <c r="B494" s="168"/>
    </row>
    <row r="495" ht="18.75" customHeight="1">
      <c r="B495" s="168"/>
    </row>
    <row r="496" ht="18.75" customHeight="1">
      <c r="B496" s="168"/>
    </row>
    <row r="497" ht="18.75" customHeight="1">
      <c r="B497" s="168"/>
    </row>
    <row r="498" ht="18.75" customHeight="1">
      <c r="B498" s="168"/>
    </row>
    <row r="499" ht="18.75" customHeight="1">
      <c r="B499" s="168"/>
    </row>
    <row r="500" ht="18.75" customHeight="1">
      <c r="B500" s="168"/>
    </row>
    <row r="501" ht="18.75" customHeight="1">
      <c r="B501" s="168"/>
    </row>
    <row r="502" ht="18.75" customHeight="1">
      <c r="B502" s="168"/>
    </row>
    <row r="503" ht="18.75" customHeight="1">
      <c r="B503" s="168"/>
    </row>
    <row r="504" ht="18.75" customHeight="1">
      <c r="B504" s="168"/>
    </row>
    <row r="505" ht="18.75" customHeight="1">
      <c r="B505" s="168"/>
    </row>
    <row r="506" ht="18.75" customHeight="1">
      <c r="B506" s="168"/>
    </row>
    <row r="507" ht="18.75" customHeight="1">
      <c r="B507" s="168"/>
    </row>
    <row r="508" ht="18.75" customHeight="1">
      <c r="B508" s="168"/>
    </row>
    <row r="509" ht="18.75" customHeight="1">
      <c r="B509" s="168"/>
    </row>
    <row r="510" ht="18.75" customHeight="1">
      <c r="B510" s="168"/>
    </row>
    <row r="511" ht="18.75" customHeight="1">
      <c r="B511" s="168"/>
    </row>
    <row r="512" ht="18.75" customHeight="1">
      <c r="B512" s="168"/>
    </row>
    <row r="513" ht="18.75" customHeight="1">
      <c r="B513" s="168"/>
    </row>
    <row r="514" ht="18.75" customHeight="1">
      <c r="B514" s="168"/>
    </row>
    <row r="515" ht="18.75" customHeight="1">
      <c r="B515" s="168"/>
    </row>
    <row r="516" ht="18.75" customHeight="1">
      <c r="B516" s="168"/>
    </row>
    <row r="517" ht="18.75" customHeight="1">
      <c r="B517" s="168"/>
    </row>
    <row r="518" ht="18.75" customHeight="1">
      <c r="B518" s="168"/>
    </row>
    <row r="519" ht="18.75" customHeight="1">
      <c r="B519" s="168"/>
    </row>
    <row r="520" ht="18.75" customHeight="1">
      <c r="B520" s="168"/>
    </row>
    <row r="521" ht="18.75" customHeight="1">
      <c r="B521" s="168"/>
    </row>
    <row r="522" ht="18.75" customHeight="1">
      <c r="B522" s="168"/>
    </row>
    <row r="523" ht="18.75" customHeight="1">
      <c r="B523" s="168"/>
    </row>
    <row r="524" ht="18.75" customHeight="1">
      <c r="B524" s="168"/>
    </row>
    <row r="525" ht="18.75" customHeight="1">
      <c r="B525" s="168"/>
    </row>
    <row r="526" ht="18.75" customHeight="1">
      <c r="B526" s="168"/>
    </row>
    <row r="527" ht="18.75" customHeight="1">
      <c r="B527" s="168"/>
    </row>
    <row r="528" ht="18.75" customHeight="1">
      <c r="B528" s="168"/>
    </row>
    <row r="529" ht="18.75" customHeight="1">
      <c r="B529" s="168"/>
    </row>
    <row r="530" ht="18.75" customHeight="1">
      <c r="B530" s="168"/>
    </row>
    <row r="531" ht="18.75" customHeight="1">
      <c r="B531" s="168"/>
    </row>
    <row r="532" ht="18.75" customHeight="1">
      <c r="B532" s="168"/>
    </row>
    <row r="533" ht="18.75" customHeight="1">
      <c r="B533" s="168"/>
    </row>
    <row r="534" ht="18.75" customHeight="1">
      <c r="B534" s="168"/>
    </row>
    <row r="535" ht="18.75" customHeight="1">
      <c r="B535" s="168"/>
    </row>
    <row r="536" ht="18.75" customHeight="1">
      <c r="B536" s="168"/>
    </row>
    <row r="537" ht="18.75" customHeight="1">
      <c r="B537" s="168"/>
    </row>
    <row r="538" ht="18.75" customHeight="1">
      <c r="B538" s="168"/>
    </row>
    <row r="539" ht="18.75" customHeight="1">
      <c r="B539" s="168"/>
    </row>
    <row r="540" ht="18.75" customHeight="1">
      <c r="B540" s="168"/>
    </row>
    <row r="541" ht="18.75" customHeight="1">
      <c r="B541" s="168"/>
    </row>
    <row r="542" ht="18.75" customHeight="1">
      <c r="B542" s="168"/>
    </row>
    <row r="543" ht="18.75" customHeight="1">
      <c r="B543" s="168"/>
    </row>
    <row r="544" ht="18.75" customHeight="1">
      <c r="B544" s="168"/>
    </row>
    <row r="545" ht="18.75" customHeight="1">
      <c r="B545" s="168"/>
    </row>
    <row r="546" ht="18.75" customHeight="1">
      <c r="B546" s="168"/>
    </row>
    <row r="547" ht="18.75" customHeight="1">
      <c r="B547" s="168"/>
    </row>
    <row r="548" ht="18.75" customHeight="1">
      <c r="B548" s="168"/>
    </row>
    <row r="549" ht="18.75" customHeight="1">
      <c r="B549" s="168"/>
    </row>
    <row r="550" ht="18.75" customHeight="1">
      <c r="B550" s="168"/>
    </row>
    <row r="551" ht="18.75" customHeight="1">
      <c r="B551" s="168"/>
    </row>
    <row r="552" ht="18.75" customHeight="1">
      <c r="B552" s="168"/>
    </row>
    <row r="553" ht="18.75" customHeight="1">
      <c r="B553" s="168"/>
    </row>
    <row r="554" ht="18.75" customHeight="1">
      <c r="B554" s="168"/>
    </row>
    <row r="555" ht="18.75" customHeight="1">
      <c r="B555" s="168"/>
    </row>
    <row r="556" ht="18.75" customHeight="1">
      <c r="B556" s="168"/>
    </row>
    <row r="557" ht="18.75" customHeight="1">
      <c r="B557" s="168"/>
    </row>
    <row r="558" ht="18.75" customHeight="1">
      <c r="B558" s="168"/>
    </row>
    <row r="559" ht="18.75" customHeight="1">
      <c r="B559" s="168"/>
    </row>
    <row r="560" ht="18.75" customHeight="1">
      <c r="B560" s="168"/>
    </row>
    <row r="561" ht="18.75" customHeight="1">
      <c r="B561" s="168"/>
    </row>
    <row r="562" ht="18.75" customHeight="1">
      <c r="B562" s="168"/>
    </row>
    <row r="563" ht="18.75" customHeight="1">
      <c r="B563" s="168"/>
    </row>
    <row r="564" ht="18.75" customHeight="1">
      <c r="B564" s="168"/>
    </row>
    <row r="565" ht="18.75" customHeight="1">
      <c r="B565" s="168"/>
    </row>
    <row r="566" ht="18.75" customHeight="1">
      <c r="B566" s="168"/>
    </row>
    <row r="567" ht="18.75" customHeight="1">
      <c r="B567" s="168"/>
    </row>
    <row r="568" ht="18.75" customHeight="1">
      <c r="B568" s="168"/>
    </row>
    <row r="569" ht="18.75" customHeight="1">
      <c r="B569" s="168"/>
    </row>
    <row r="570" ht="18.75" customHeight="1">
      <c r="B570" s="168"/>
    </row>
    <row r="571" ht="18.75" customHeight="1">
      <c r="B571" s="168"/>
    </row>
    <row r="572" ht="18.75" customHeight="1">
      <c r="B572" s="168"/>
    </row>
    <row r="573" ht="18.75" customHeight="1">
      <c r="B573" s="168"/>
    </row>
    <row r="574" ht="18.75" customHeight="1">
      <c r="B574" s="168"/>
    </row>
    <row r="575" ht="18.75" customHeight="1">
      <c r="B575" s="168"/>
    </row>
    <row r="576" ht="18.75" customHeight="1">
      <c r="B576" s="168"/>
    </row>
    <row r="577" ht="18.75" customHeight="1">
      <c r="B577" s="168"/>
    </row>
    <row r="578" ht="18.75" customHeight="1">
      <c r="B578" s="168"/>
    </row>
    <row r="579" ht="18.75" customHeight="1">
      <c r="B579" s="168"/>
    </row>
    <row r="580" ht="18.75" customHeight="1">
      <c r="B580" s="168"/>
    </row>
    <row r="581" ht="18.75" customHeight="1">
      <c r="B581" s="168"/>
    </row>
    <row r="582" ht="18.75" customHeight="1">
      <c r="B582" s="168"/>
    </row>
    <row r="583" ht="18.75" customHeight="1">
      <c r="B583" s="168"/>
    </row>
    <row r="584" ht="18.75" customHeight="1">
      <c r="B584" s="168"/>
    </row>
    <row r="585" ht="18.75" customHeight="1">
      <c r="B585" s="168"/>
    </row>
    <row r="586" ht="18.75" customHeight="1">
      <c r="B586" s="168"/>
    </row>
    <row r="587" ht="18.75" customHeight="1">
      <c r="B587" s="168"/>
    </row>
    <row r="588" ht="18.75" customHeight="1">
      <c r="B588" s="168"/>
    </row>
    <row r="589" ht="18.75" customHeight="1">
      <c r="B589" s="168"/>
    </row>
    <row r="590" ht="18.75" customHeight="1">
      <c r="B590" s="168"/>
    </row>
    <row r="591" ht="18.75" customHeight="1">
      <c r="B591" s="168"/>
    </row>
    <row r="592" ht="18.75" customHeight="1">
      <c r="B592" s="168"/>
    </row>
    <row r="593" ht="18.75" customHeight="1">
      <c r="B593" s="168"/>
    </row>
    <row r="594" ht="18.75" customHeight="1">
      <c r="B594" s="168"/>
    </row>
    <row r="595" ht="18.75" customHeight="1">
      <c r="B595" s="168"/>
    </row>
    <row r="596" ht="18.75" customHeight="1">
      <c r="B596" s="168"/>
    </row>
    <row r="597" ht="18.75" customHeight="1">
      <c r="B597" s="168"/>
    </row>
    <row r="598" ht="18.75" customHeight="1">
      <c r="B598" s="168"/>
    </row>
    <row r="599" ht="18.75" customHeight="1">
      <c r="B599" s="168"/>
    </row>
    <row r="600" ht="18.75" customHeight="1">
      <c r="B600" s="168"/>
    </row>
    <row r="601" ht="18.75" customHeight="1">
      <c r="B601" s="168"/>
    </row>
    <row r="602" ht="18.75" customHeight="1">
      <c r="B602" s="168"/>
    </row>
    <row r="603" ht="18.75" customHeight="1">
      <c r="B603" s="168"/>
    </row>
    <row r="604" ht="18.75" customHeight="1">
      <c r="B604" s="168"/>
    </row>
    <row r="605" ht="18.75" customHeight="1">
      <c r="B605" s="168"/>
    </row>
    <row r="606" ht="18.75" customHeight="1">
      <c r="B606" s="168"/>
    </row>
    <row r="607" ht="18.75" customHeight="1">
      <c r="B607" s="168"/>
    </row>
    <row r="608" ht="18.75" customHeight="1">
      <c r="B608" s="168"/>
    </row>
    <row r="609" ht="18.75" customHeight="1">
      <c r="B609" s="168"/>
    </row>
    <row r="610" ht="18.75" customHeight="1">
      <c r="B610" s="168"/>
    </row>
    <row r="611" ht="18.75" customHeight="1">
      <c r="B611" s="168"/>
    </row>
    <row r="612" ht="18.75" customHeight="1">
      <c r="B612" s="168"/>
    </row>
    <row r="613" ht="18.75" customHeight="1">
      <c r="B613" s="168"/>
    </row>
    <row r="614" ht="18.75" customHeight="1">
      <c r="B614" s="168"/>
    </row>
    <row r="615" ht="18.75" customHeight="1">
      <c r="B615" s="168"/>
    </row>
    <row r="616" ht="18.75" customHeight="1">
      <c r="B616" s="168"/>
    </row>
    <row r="617" ht="18.75" customHeight="1">
      <c r="B617" s="168"/>
    </row>
    <row r="618" ht="18.75" customHeight="1">
      <c r="B618" s="168"/>
    </row>
    <row r="619" ht="18.75" customHeight="1">
      <c r="B619" s="168"/>
    </row>
    <row r="620" ht="18.75" customHeight="1">
      <c r="B620" s="168"/>
    </row>
    <row r="621" ht="18.75" customHeight="1">
      <c r="B621" s="168"/>
    </row>
    <row r="622" ht="18.75" customHeight="1">
      <c r="B622" s="168"/>
    </row>
    <row r="623" ht="18.75" customHeight="1">
      <c r="B623" s="168"/>
    </row>
    <row r="624" ht="18.75" customHeight="1">
      <c r="B624" s="168"/>
    </row>
    <row r="625" ht="18.75" customHeight="1">
      <c r="B625" s="168"/>
    </row>
    <row r="626" ht="18.75" customHeight="1">
      <c r="B626" s="168"/>
    </row>
    <row r="627" ht="18.75" customHeight="1">
      <c r="B627" s="168"/>
    </row>
    <row r="628" ht="18.75" customHeight="1">
      <c r="B628" s="168"/>
    </row>
    <row r="629" ht="18.75" customHeight="1">
      <c r="B629" s="168"/>
    </row>
    <row r="630" ht="18.75" customHeight="1">
      <c r="B630" s="168"/>
    </row>
    <row r="631" ht="18.75" customHeight="1">
      <c r="B631" s="168"/>
    </row>
    <row r="632" ht="18.75" customHeight="1">
      <c r="B632" s="168"/>
    </row>
    <row r="633" ht="18.75" customHeight="1">
      <c r="B633" s="168"/>
    </row>
    <row r="634" ht="18.75" customHeight="1">
      <c r="B634" s="168"/>
    </row>
    <row r="635" ht="18.75" customHeight="1">
      <c r="B635" s="168"/>
    </row>
    <row r="636" ht="18.75" customHeight="1">
      <c r="B636" s="168"/>
    </row>
    <row r="637" ht="18.75" customHeight="1">
      <c r="B637" s="168"/>
    </row>
    <row r="638" ht="18.75" customHeight="1">
      <c r="B638" s="168"/>
    </row>
    <row r="639" ht="18.75" customHeight="1">
      <c r="B639" s="168"/>
    </row>
    <row r="640" ht="18.75" customHeight="1">
      <c r="B640" s="168"/>
    </row>
    <row r="641" ht="18.75" customHeight="1">
      <c r="B641" s="168"/>
    </row>
    <row r="642" ht="18.75" customHeight="1">
      <c r="B642" s="168"/>
    </row>
    <row r="643" ht="18.75" customHeight="1">
      <c r="B643" s="168"/>
    </row>
    <row r="644" ht="18.75" customHeight="1">
      <c r="B644" s="168"/>
    </row>
    <row r="645" ht="18.75" customHeight="1">
      <c r="B645" s="168"/>
    </row>
    <row r="646" ht="18.75" customHeight="1">
      <c r="B646" s="168"/>
    </row>
    <row r="647" ht="18.75" customHeight="1">
      <c r="B647" s="168"/>
    </row>
    <row r="648" ht="18.75" customHeight="1">
      <c r="B648" s="168"/>
    </row>
    <row r="649" ht="18.75" customHeight="1">
      <c r="B649" s="168"/>
    </row>
    <row r="650" ht="18.75" customHeight="1">
      <c r="B650" s="168"/>
    </row>
    <row r="651" ht="18.75" customHeight="1">
      <c r="B651" s="168"/>
    </row>
    <row r="652" ht="18.75" customHeight="1">
      <c r="B652" s="168"/>
    </row>
    <row r="653" ht="18.75" customHeight="1">
      <c r="B653" s="168"/>
    </row>
    <row r="654" ht="18.75" customHeight="1">
      <c r="B654" s="168"/>
    </row>
    <row r="655" ht="18.75" customHeight="1">
      <c r="B655" s="168"/>
    </row>
    <row r="656" ht="18.75" customHeight="1">
      <c r="B656" s="168"/>
    </row>
    <row r="657" ht="18.75" customHeight="1">
      <c r="B657" s="168"/>
    </row>
    <row r="658" ht="18.75" customHeight="1">
      <c r="B658" s="168"/>
    </row>
    <row r="659" ht="18.75" customHeight="1">
      <c r="B659" s="168"/>
    </row>
    <row r="660" ht="18.75" customHeight="1">
      <c r="B660" s="168"/>
    </row>
    <row r="661" ht="18.75" customHeight="1">
      <c r="B661" s="168"/>
    </row>
    <row r="662" ht="18.75" customHeight="1">
      <c r="B662" s="168"/>
    </row>
    <row r="663" ht="18.75" customHeight="1">
      <c r="B663" s="168"/>
    </row>
    <row r="664" ht="18.75" customHeight="1">
      <c r="B664" s="168"/>
    </row>
    <row r="665" ht="18.75" customHeight="1">
      <c r="B665" s="168"/>
    </row>
    <row r="666" ht="18.75" customHeight="1">
      <c r="B666" s="168"/>
    </row>
    <row r="667" ht="18.75" customHeight="1">
      <c r="B667" s="168"/>
    </row>
    <row r="668" ht="18.75" customHeight="1">
      <c r="B668" s="168"/>
    </row>
    <row r="669" ht="18.75" customHeight="1">
      <c r="B669" s="168"/>
    </row>
    <row r="670" ht="18.75" customHeight="1">
      <c r="B670" s="168"/>
    </row>
    <row r="671" ht="18.75" customHeight="1">
      <c r="B671" s="168"/>
    </row>
    <row r="672" ht="18.75" customHeight="1">
      <c r="B672" s="168"/>
    </row>
    <row r="673" ht="18.75" customHeight="1">
      <c r="B673" s="168"/>
    </row>
    <row r="674" ht="18.75" customHeight="1">
      <c r="B674" s="168"/>
    </row>
    <row r="675" ht="18.75" customHeight="1">
      <c r="B675" s="168"/>
    </row>
    <row r="676" ht="18.75" customHeight="1">
      <c r="B676" s="168"/>
    </row>
    <row r="677" ht="18.75" customHeight="1">
      <c r="B677" s="168"/>
    </row>
    <row r="678" ht="18.75" customHeight="1">
      <c r="B678" s="168"/>
    </row>
    <row r="679" ht="18.75" customHeight="1">
      <c r="B679" s="168"/>
    </row>
    <row r="680" ht="18.75" customHeight="1">
      <c r="B680" s="168"/>
    </row>
    <row r="681" ht="18.75" customHeight="1">
      <c r="B681" s="168"/>
    </row>
    <row r="682" ht="18.75" customHeight="1">
      <c r="B682" s="168"/>
    </row>
    <row r="683" ht="18.75" customHeight="1">
      <c r="B683" s="168"/>
    </row>
    <row r="684" ht="18.75" customHeight="1">
      <c r="B684" s="168"/>
    </row>
    <row r="685" ht="18.75" customHeight="1">
      <c r="B685" s="168"/>
    </row>
    <row r="686" ht="18.75" customHeight="1">
      <c r="B686" s="168"/>
    </row>
    <row r="687" ht="18.75" customHeight="1">
      <c r="B687" s="168"/>
    </row>
    <row r="688" ht="18.75" customHeight="1">
      <c r="B688" s="168"/>
    </row>
    <row r="689" ht="18.75" customHeight="1">
      <c r="B689" s="168"/>
    </row>
    <row r="690" ht="18.75" customHeight="1">
      <c r="B690" s="168"/>
    </row>
    <row r="691" ht="18.75" customHeight="1">
      <c r="B691" s="168"/>
    </row>
    <row r="692" ht="18.75" customHeight="1">
      <c r="B692" s="168"/>
    </row>
    <row r="693" ht="18.75" customHeight="1">
      <c r="B693" s="168"/>
    </row>
    <row r="694" ht="18.75" customHeight="1">
      <c r="B694" s="168"/>
    </row>
    <row r="695" ht="18.75" customHeight="1">
      <c r="B695" s="168"/>
    </row>
    <row r="696" ht="18.75" customHeight="1">
      <c r="B696" s="168"/>
    </row>
    <row r="697" ht="18.75" customHeight="1">
      <c r="B697" s="168"/>
    </row>
    <row r="698" ht="18.75" customHeight="1">
      <c r="B698" s="168"/>
    </row>
    <row r="699" ht="18.75" customHeight="1">
      <c r="B699" s="168"/>
    </row>
    <row r="700" ht="18.75" customHeight="1">
      <c r="B700" s="168"/>
    </row>
    <row r="701" ht="18.75" customHeight="1">
      <c r="B701" s="168"/>
    </row>
    <row r="702" ht="18.75" customHeight="1">
      <c r="B702" s="168"/>
    </row>
    <row r="703" ht="18.75" customHeight="1">
      <c r="B703" s="168"/>
    </row>
    <row r="704" ht="18.75" customHeight="1">
      <c r="B704" s="168"/>
    </row>
    <row r="705" ht="18.75" customHeight="1">
      <c r="B705" s="168"/>
    </row>
    <row r="706" ht="18.75" customHeight="1">
      <c r="B706" s="168"/>
    </row>
    <row r="707" ht="18.75" customHeight="1">
      <c r="B707" s="168"/>
    </row>
    <row r="708" ht="18.75" customHeight="1">
      <c r="B708" s="168"/>
    </row>
    <row r="709" ht="18.75" customHeight="1">
      <c r="B709" s="168"/>
    </row>
    <row r="710" ht="18.75" customHeight="1">
      <c r="B710" s="168"/>
    </row>
    <row r="711" ht="18.75" customHeight="1">
      <c r="B711" s="168"/>
    </row>
    <row r="712" ht="18.75" customHeight="1">
      <c r="B712" s="168"/>
    </row>
    <row r="713" ht="18.75" customHeight="1">
      <c r="B713" s="168"/>
    </row>
    <row r="714" ht="18.75" customHeight="1">
      <c r="B714" s="168"/>
    </row>
    <row r="715" ht="18.75" customHeight="1">
      <c r="B715" s="168"/>
    </row>
    <row r="716" ht="18.75" customHeight="1">
      <c r="B716" s="168"/>
    </row>
    <row r="717" ht="18.75" customHeight="1">
      <c r="B717" s="168"/>
    </row>
    <row r="718" ht="18.75" customHeight="1">
      <c r="B718" s="168"/>
    </row>
    <row r="719" ht="18.75" customHeight="1">
      <c r="B719" s="168"/>
    </row>
    <row r="720" ht="18.75" customHeight="1">
      <c r="B720" s="168"/>
    </row>
    <row r="721" ht="18.75" customHeight="1">
      <c r="B721" s="168"/>
    </row>
    <row r="722" ht="18.75" customHeight="1">
      <c r="B722" s="168"/>
    </row>
    <row r="723" ht="18.75" customHeight="1">
      <c r="B723" s="168"/>
    </row>
    <row r="724" ht="18.75" customHeight="1">
      <c r="B724" s="168"/>
    </row>
    <row r="725" ht="18.75" customHeight="1">
      <c r="B725" s="168"/>
    </row>
    <row r="726" ht="18.75" customHeight="1">
      <c r="B726" s="168"/>
    </row>
    <row r="727" ht="18.75" customHeight="1">
      <c r="B727" s="168"/>
    </row>
    <row r="728" ht="18.75" customHeight="1">
      <c r="B728" s="168"/>
    </row>
    <row r="729" ht="18.75" customHeight="1">
      <c r="B729" s="168"/>
    </row>
    <row r="730" ht="18.75" customHeight="1">
      <c r="B730" s="168"/>
    </row>
    <row r="731" ht="18.75" customHeight="1">
      <c r="B731" s="168"/>
    </row>
    <row r="732" ht="18.75" customHeight="1">
      <c r="B732" s="168"/>
    </row>
    <row r="733" ht="18.75" customHeight="1">
      <c r="B733" s="168"/>
    </row>
    <row r="734" ht="18.75" customHeight="1">
      <c r="B734" s="168"/>
    </row>
    <row r="735" ht="18.75" customHeight="1">
      <c r="B735" s="168"/>
    </row>
    <row r="736" ht="18.75" customHeight="1">
      <c r="B736" s="168"/>
    </row>
    <row r="737" ht="18.75" customHeight="1">
      <c r="B737" s="168"/>
    </row>
    <row r="738" ht="18.75" customHeight="1">
      <c r="B738" s="168"/>
    </row>
    <row r="739" ht="18.75" customHeight="1">
      <c r="B739" s="168"/>
    </row>
    <row r="740" ht="18.75" customHeight="1">
      <c r="B740" s="168"/>
    </row>
    <row r="741" ht="18.75" customHeight="1">
      <c r="B741" s="168"/>
    </row>
    <row r="742" ht="18.75" customHeight="1">
      <c r="B742" s="168"/>
    </row>
    <row r="743" ht="18.75" customHeight="1">
      <c r="B743" s="168"/>
    </row>
    <row r="744" ht="18.75" customHeight="1">
      <c r="B744" s="168"/>
    </row>
    <row r="745" ht="18.75" customHeight="1">
      <c r="B745" s="168"/>
    </row>
    <row r="746" ht="18.75" customHeight="1">
      <c r="B746" s="168"/>
    </row>
    <row r="747" ht="18.75" customHeight="1">
      <c r="B747" s="168"/>
    </row>
    <row r="748" ht="18.75" customHeight="1">
      <c r="B748" s="168"/>
    </row>
    <row r="749" ht="18.75" customHeight="1">
      <c r="B749" s="168"/>
    </row>
    <row r="750" ht="18.75" customHeight="1">
      <c r="B750" s="168"/>
    </row>
    <row r="751" ht="18.75" customHeight="1">
      <c r="B751" s="168"/>
    </row>
    <row r="752" ht="18.75" customHeight="1">
      <c r="B752" s="168"/>
    </row>
    <row r="753" ht="18.75" customHeight="1">
      <c r="B753" s="168"/>
    </row>
    <row r="754" ht="18.75" customHeight="1">
      <c r="B754" s="168"/>
    </row>
    <row r="755" ht="18.75" customHeight="1">
      <c r="B755" s="168"/>
    </row>
    <row r="756" ht="18.75" customHeight="1">
      <c r="B756" s="168"/>
    </row>
    <row r="757" ht="18.75" customHeight="1">
      <c r="B757" s="168"/>
    </row>
    <row r="758" ht="18.75" customHeight="1">
      <c r="B758" s="168"/>
    </row>
    <row r="759" ht="18.75" customHeight="1">
      <c r="B759" s="168"/>
    </row>
    <row r="760" ht="18.75" customHeight="1">
      <c r="B760" s="168"/>
    </row>
    <row r="761" ht="18.75" customHeight="1">
      <c r="B761" s="168"/>
    </row>
    <row r="762" ht="18.75" customHeight="1">
      <c r="B762" s="168"/>
    </row>
    <row r="763" ht="18.75" customHeight="1">
      <c r="B763" s="168"/>
    </row>
    <row r="764" ht="18.75" customHeight="1">
      <c r="B764" s="168"/>
    </row>
    <row r="765" ht="18.75" customHeight="1">
      <c r="B765" s="168"/>
    </row>
    <row r="766" ht="18.75" customHeight="1">
      <c r="B766" s="168"/>
    </row>
    <row r="767" ht="18.75" customHeight="1">
      <c r="B767" s="168"/>
    </row>
    <row r="768" ht="18.75" customHeight="1">
      <c r="B768" s="168"/>
    </row>
    <row r="769" ht="18.75" customHeight="1">
      <c r="B769" s="168"/>
    </row>
    <row r="770" ht="18.75" customHeight="1">
      <c r="B770" s="168"/>
    </row>
    <row r="771" ht="18.75" customHeight="1">
      <c r="B771" s="168"/>
    </row>
    <row r="772" ht="18.75" customHeight="1">
      <c r="B772" s="168"/>
    </row>
    <row r="773" ht="18.75" customHeight="1">
      <c r="B773" s="168"/>
    </row>
    <row r="774" ht="18.75" customHeight="1">
      <c r="B774" s="168"/>
    </row>
    <row r="775" ht="18.75" customHeight="1">
      <c r="B775" s="168"/>
    </row>
    <row r="776" ht="18.75" customHeight="1">
      <c r="B776" s="168"/>
    </row>
    <row r="777" ht="18.75" customHeight="1">
      <c r="B777" s="168"/>
    </row>
    <row r="778" ht="18.75" customHeight="1">
      <c r="B778" s="168"/>
    </row>
    <row r="779" ht="18.75" customHeight="1">
      <c r="B779" s="168"/>
    </row>
    <row r="780" ht="18.75" customHeight="1">
      <c r="B780" s="168"/>
    </row>
    <row r="781" ht="18.75" customHeight="1">
      <c r="B781" s="168"/>
    </row>
    <row r="782" ht="18.75" customHeight="1">
      <c r="B782" s="168"/>
    </row>
    <row r="783" ht="18.75" customHeight="1">
      <c r="B783" s="168"/>
    </row>
    <row r="784" ht="18.75" customHeight="1">
      <c r="B784" s="168"/>
    </row>
    <row r="785" ht="18.75" customHeight="1">
      <c r="B785" s="168"/>
    </row>
    <row r="786" ht="18.75" customHeight="1">
      <c r="B786" s="168"/>
    </row>
    <row r="787" ht="18.75" customHeight="1">
      <c r="B787" s="168"/>
    </row>
    <row r="788" ht="18.75" customHeight="1">
      <c r="B788" s="168"/>
    </row>
    <row r="789" ht="18.75" customHeight="1">
      <c r="B789" s="168"/>
    </row>
    <row r="790" ht="18.75" customHeight="1">
      <c r="B790" s="168"/>
    </row>
    <row r="791" ht="18.75" customHeight="1">
      <c r="B791" s="168"/>
    </row>
    <row r="792" ht="18.75" customHeight="1">
      <c r="B792" s="168"/>
    </row>
    <row r="793" ht="18.75" customHeight="1">
      <c r="B793" s="168"/>
    </row>
    <row r="794" ht="18.75" customHeight="1">
      <c r="B794" s="168"/>
    </row>
    <row r="795" ht="18.75" customHeight="1">
      <c r="B795" s="168"/>
    </row>
    <row r="796" ht="18.75" customHeight="1">
      <c r="B796" s="168"/>
    </row>
    <row r="797" ht="18.75" customHeight="1">
      <c r="B797" s="168"/>
    </row>
    <row r="798" ht="18.75" customHeight="1">
      <c r="B798" s="168"/>
    </row>
    <row r="799" ht="18.75" customHeight="1">
      <c r="B799" s="168"/>
    </row>
    <row r="800" ht="18.75" customHeight="1">
      <c r="B800" s="168"/>
    </row>
    <row r="801" ht="18.75" customHeight="1">
      <c r="B801" s="168"/>
    </row>
    <row r="802" ht="18.75" customHeight="1">
      <c r="B802" s="168"/>
    </row>
    <row r="803" ht="18.75" customHeight="1">
      <c r="B803" s="168"/>
    </row>
    <row r="804" ht="18.75" customHeight="1">
      <c r="B804" s="168"/>
    </row>
    <row r="805" ht="18.75" customHeight="1">
      <c r="B805" s="168"/>
    </row>
    <row r="806" ht="18.75" customHeight="1">
      <c r="B806" s="168"/>
    </row>
    <row r="807" ht="18.75" customHeight="1">
      <c r="B807" s="168"/>
    </row>
    <row r="808" ht="18.75" customHeight="1">
      <c r="B808" s="168"/>
    </row>
    <row r="809" ht="18.75" customHeight="1">
      <c r="B809" s="168"/>
    </row>
    <row r="810" ht="18.75" customHeight="1">
      <c r="B810" s="168"/>
    </row>
    <row r="811" ht="18.75" customHeight="1">
      <c r="B811" s="168"/>
    </row>
    <row r="812" ht="18.75" customHeight="1">
      <c r="B812" s="168"/>
    </row>
    <row r="813" ht="18.75" customHeight="1">
      <c r="B813" s="168"/>
    </row>
    <row r="814" ht="18.75" customHeight="1">
      <c r="B814" s="168"/>
    </row>
    <row r="815" ht="18.75" customHeight="1">
      <c r="B815" s="168"/>
    </row>
    <row r="816" ht="18.75" customHeight="1">
      <c r="B816" s="168"/>
    </row>
    <row r="817" ht="18.75" customHeight="1">
      <c r="B817" s="168"/>
    </row>
    <row r="818" ht="18.75" customHeight="1">
      <c r="B818" s="168"/>
    </row>
    <row r="819" ht="18.75" customHeight="1">
      <c r="B819" s="168"/>
    </row>
    <row r="820" ht="18.75" customHeight="1">
      <c r="B820" s="168"/>
    </row>
    <row r="821" ht="18.75" customHeight="1">
      <c r="B821" s="168"/>
    </row>
    <row r="822" ht="18.75" customHeight="1">
      <c r="B822" s="168"/>
    </row>
    <row r="823" ht="18.75" customHeight="1">
      <c r="B823" s="168"/>
    </row>
    <row r="824" ht="18.75" customHeight="1">
      <c r="B824" s="168"/>
    </row>
    <row r="825" ht="18.75" customHeight="1">
      <c r="B825" s="168"/>
    </row>
    <row r="826" ht="18.75" customHeight="1">
      <c r="B826" s="168"/>
    </row>
    <row r="827" ht="18.75" customHeight="1">
      <c r="B827" s="168"/>
    </row>
    <row r="828" ht="18.75" customHeight="1">
      <c r="B828" s="168"/>
    </row>
    <row r="829" ht="18.75" customHeight="1">
      <c r="B829" s="168"/>
    </row>
    <row r="830" ht="18.75" customHeight="1">
      <c r="B830" s="168"/>
    </row>
    <row r="831" ht="18.75" customHeight="1">
      <c r="B831" s="168"/>
    </row>
    <row r="832" ht="18.75" customHeight="1">
      <c r="B832" s="168"/>
    </row>
    <row r="833" ht="18.75" customHeight="1">
      <c r="B833" s="168"/>
    </row>
    <row r="834" ht="18.75" customHeight="1">
      <c r="B834" s="168"/>
    </row>
    <row r="835" ht="18.75" customHeight="1">
      <c r="B835" s="168"/>
    </row>
    <row r="836" ht="18.75" customHeight="1">
      <c r="B836" s="168"/>
    </row>
    <row r="837" ht="18.75" customHeight="1">
      <c r="B837" s="168"/>
    </row>
    <row r="838" ht="18.75" customHeight="1">
      <c r="B838" s="168"/>
    </row>
    <row r="839" ht="18.75" customHeight="1">
      <c r="B839" s="168"/>
    </row>
    <row r="840" ht="18.75" customHeight="1">
      <c r="B840" s="168"/>
    </row>
    <row r="841" ht="18.75" customHeight="1">
      <c r="B841" s="168"/>
    </row>
    <row r="842" ht="18.75" customHeight="1">
      <c r="B842" s="168"/>
    </row>
    <row r="843" ht="18.75" customHeight="1">
      <c r="B843" s="168"/>
    </row>
    <row r="844" ht="18.75" customHeight="1">
      <c r="B844" s="168"/>
    </row>
    <row r="845" ht="18.75" customHeight="1">
      <c r="B845" s="168"/>
    </row>
    <row r="846" ht="18.75" customHeight="1">
      <c r="B846" s="168"/>
    </row>
    <row r="847" ht="18.75" customHeight="1">
      <c r="B847" s="168"/>
    </row>
    <row r="848" ht="18.75" customHeight="1">
      <c r="B848" s="168"/>
    </row>
    <row r="849" ht="18.75" customHeight="1">
      <c r="B849" s="168"/>
    </row>
    <row r="850" ht="18.75" customHeight="1">
      <c r="B850" s="168"/>
    </row>
    <row r="851" ht="18.75" customHeight="1">
      <c r="B851" s="168"/>
    </row>
    <row r="852" ht="18.75" customHeight="1">
      <c r="B852" s="168"/>
    </row>
    <row r="853" ht="18.75" customHeight="1">
      <c r="B853" s="168"/>
    </row>
    <row r="854" ht="18.75" customHeight="1">
      <c r="B854" s="168"/>
    </row>
    <row r="855" ht="18.75" customHeight="1">
      <c r="B855" s="168"/>
    </row>
    <row r="856" ht="18.75" customHeight="1">
      <c r="B856" s="168"/>
    </row>
    <row r="857" ht="18.75" customHeight="1">
      <c r="B857" s="168"/>
    </row>
    <row r="858" ht="18.75" customHeight="1">
      <c r="B858" s="168"/>
    </row>
    <row r="859" ht="18.75" customHeight="1">
      <c r="B859" s="168"/>
    </row>
    <row r="860" ht="18.75" customHeight="1">
      <c r="B860" s="168"/>
    </row>
    <row r="861" ht="18.75" customHeight="1">
      <c r="B861" s="168"/>
    </row>
    <row r="862" ht="18.75" customHeight="1">
      <c r="B862" s="168"/>
    </row>
    <row r="863" ht="18.75" customHeight="1">
      <c r="B863" s="168"/>
    </row>
    <row r="864" ht="18.75" customHeight="1">
      <c r="B864" s="168"/>
    </row>
    <row r="865" ht="18.75" customHeight="1">
      <c r="B865" s="168"/>
    </row>
    <row r="866" ht="18.75" customHeight="1">
      <c r="B866" s="168"/>
    </row>
    <row r="867" ht="18.75" customHeight="1">
      <c r="B867" s="168"/>
    </row>
    <row r="868" ht="18.75" customHeight="1">
      <c r="B868" s="168"/>
    </row>
    <row r="869" ht="18.75" customHeight="1">
      <c r="B869" s="168"/>
    </row>
    <row r="870" ht="18.75" customHeight="1">
      <c r="B870" s="168"/>
    </row>
    <row r="871" ht="18.75" customHeight="1">
      <c r="B871" s="168"/>
    </row>
    <row r="872" ht="18.75" customHeight="1">
      <c r="B872" s="168"/>
    </row>
    <row r="873" ht="18.75" customHeight="1">
      <c r="B873" s="168"/>
    </row>
    <row r="874" ht="18.75" customHeight="1">
      <c r="B874" s="168"/>
    </row>
    <row r="875" ht="18.75" customHeight="1">
      <c r="B875" s="168"/>
    </row>
    <row r="876" ht="18.75" customHeight="1">
      <c r="B876" s="168"/>
    </row>
    <row r="877" ht="18.75" customHeight="1">
      <c r="B877" s="168"/>
    </row>
    <row r="878" ht="18.75" customHeight="1">
      <c r="B878" s="168"/>
    </row>
    <row r="879" ht="18.75" customHeight="1">
      <c r="B879" s="168"/>
    </row>
    <row r="880" ht="18.75" customHeight="1">
      <c r="B880" s="168"/>
    </row>
    <row r="881" ht="18.75" customHeight="1">
      <c r="B881" s="168"/>
    </row>
    <row r="882" ht="18.75" customHeight="1">
      <c r="B882" s="168"/>
    </row>
    <row r="883" ht="18.75" customHeight="1">
      <c r="B883" s="168"/>
    </row>
    <row r="884" ht="18.75" customHeight="1">
      <c r="B884" s="168"/>
    </row>
    <row r="885" ht="18.75" customHeight="1">
      <c r="B885" s="168"/>
    </row>
    <row r="886" ht="18.75" customHeight="1">
      <c r="B886" s="168"/>
    </row>
    <row r="887" ht="18.75" customHeight="1">
      <c r="B887" s="168"/>
    </row>
    <row r="888" ht="18.75" customHeight="1">
      <c r="B888" s="168"/>
    </row>
    <row r="889" ht="18.75" customHeight="1">
      <c r="B889" s="168"/>
    </row>
    <row r="890" ht="18.75" customHeight="1">
      <c r="B890" s="168"/>
    </row>
    <row r="891" ht="18.75" customHeight="1">
      <c r="B891" s="168"/>
    </row>
    <row r="892" ht="18.75" customHeight="1">
      <c r="B892" s="168"/>
    </row>
    <row r="893" ht="18.75" customHeight="1">
      <c r="B893" s="168"/>
    </row>
    <row r="894" ht="18.75" customHeight="1">
      <c r="B894" s="168"/>
    </row>
    <row r="895" ht="18.75" customHeight="1">
      <c r="B895" s="168"/>
    </row>
    <row r="896" ht="18.75" customHeight="1">
      <c r="B896" s="168"/>
    </row>
    <row r="897" ht="18.75" customHeight="1">
      <c r="B897" s="168"/>
    </row>
    <row r="898" ht="18.75" customHeight="1">
      <c r="B898" s="168"/>
    </row>
    <row r="899" ht="18.75" customHeight="1">
      <c r="B899" s="168"/>
    </row>
    <row r="900" ht="18.75" customHeight="1">
      <c r="B900" s="168"/>
    </row>
    <row r="901" ht="18.75" customHeight="1">
      <c r="B901" s="168"/>
    </row>
    <row r="902" ht="18.75" customHeight="1">
      <c r="B902" s="168"/>
    </row>
    <row r="903" ht="18.75" customHeight="1">
      <c r="B903" s="168"/>
    </row>
    <row r="904" ht="18.75" customHeight="1">
      <c r="B904" s="168"/>
    </row>
    <row r="905" ht="18.75" customHeight="1">
      <c r="B905" s="168"/>
    </row>
    <row r="906" ht="18.75" customHeight="1">
      <c r="B906" s="168"/>
    </row>
    <row r="907" ht="18.75" customHeight="1">
      <c r="B907" s="168"/>
    </row>
    <row r="908" ht="18.75" customHeight="1">
      <c r="B908" s="168"/>
    </row>
    <row r="909" ht="18.75" customHeight="1">
      <c r="B909" s="168"/>
    </row>
    <row r="910" ht="18.75" customHeight="1">
      <c r="B910" s="168"/>
    </row>
    <row r="911" ht="18.75" customHeight="1">
      <c r="B911" s="168"/>
    </row>
    <row r="912" ht="18.75" customHeight="1">
      <c r="B912" s="168"/>
    </row>
    <row r="913" ht="18.75" customHeight="1">
      <c r="B913" s="168"/>
    </row>
    <row r="914" ht="18.75" customHeight="1">
      <c r="B914" s="168"/>
    </row>
    <row r="915" ht="18.75" customHeight="1">
      <c r="B915" s="168"/>
    </row>
    <row r="916" ht="18.75" customHeight="1">
      <c r="B916" s="168"/>
    </row>
    <row r="917" ht="18.75" customHeight="1">
      <c r="B917" s="168"/>
    </row>
    <row r="918" ht="18.75" customHeight="1">
      <c r="B918" s="168"/>
    </row>
    <row r="919" ht="18.75" customHeight="1">
      <c r="B919" s="168"/>
    </row>
    <row r="920" ht="18.75" customHeight="1">
      <c r="B920" s="168"/>
    </row>
    <row r="921" ht="18.75" customHeight="1">
      <c r="B921" s="168"/>
    </row>
    <row r="922" ht="18.75" customHeight="1">
      <c r="B922" s="168"/>
    </row>
    <row r="923" ht="18.75" customHeight="1">
      <c r="B923" s="168"/>
    </row>
    <row r="924" ht="18.75" customHeight="1">
      <c r="B924" s="168"/>
    </row>
    <row r="925" ht="18.75" customHeight="1">
      <c r="B925" s="168"/>
    </row>
    <row r="926" ht="18.75" customHeight="1">
      <c r="B926" s="168"/>
    </row>
    <row r="927" ht="18.75" customHeight="1">
      <c r="B927" s="168"/>
    </row>
    <row r="928" ht="18.75" customHeight="1">
      <c r="B928" s="168"/>
    </row>
    <row r="929" ht="18.75" customHeight="1">
      <c r="B929" s="168"/>
    </row>
    <row r="930" ht="18.75" customHeight="1">
      <c r="B930" s="168"/>
    </row>
    <row r="931" ht="18.75" customHeight="1">
      <c r="B931" s="168"/>
    </row>
    <row r="932" ht="18.75" customHeight="1">
      <c r="B932" s="168"/>
    </row>
    <row r="933" ht="18.75" customHeight="1">
      <c r="B933" s="168"/>
    </row>
    <row r="934" ht="18.75" customHeight="1">
      <c r="B934" s="168"/>
    </row>
    <row r="935" ht="18.75" customHeight="1">
      <c r="B935" s="168"/>
    </row>
    <row r="936" ht="18.75" customHeight="1">
      <c r="B936" s="168"/>
    </row>
    <row r="937" ht="18.75" customHeight="1">
      <c r="B937" s="168"/>
    </row>
    <row r="938" ht="18.75" customHeight="1">
      <c r="B938" s="168"/>
    </row>
    <row r="939" ht="18.75" customHeight="1">
      <c r="B939" s="168"/>
    </row>
    <row r="940" ht="18.75" customHeight="1">
      <c r="B940" s="168"/>
    </row>
    <row r="941" ht="18.75" customHeight="1">
      <c r="B941" s="168"/>
    </row>
    <row r="942" ht="18.75" customHeight="1">
      <c r="B942" s="168"/>
    </row>
    <row r="943" ht="18.75" customHeight="1">
      <c r="B943" s="168"/>
    </row>
    <row r="944" ht="18.75" customHeight="1">
      <c r="B944" s="168"/>
    </row>
    <row r="945" ht="18.75" customHeight="1">
      <c r="B945" s="168"/>
    </row>
    <row r="946" ht="18.75" customHeight="1">
      <c r="B946" s="168"/>
    </row>
    <row r="947" ht="18.75" customHeight="1">
      <c r="B947" s="168"/>
    </row>
    <row r="948" ht="18.75" customHeight="1">
      <c r="B948" s="168"/>
    </row>
    <row r="949" ht="18.75" customHeight="1">
      <c r="B949" s="168"/>
    </row>
    <row r="950" ht="18.75" customHeight="1">
      <c r="B950" s="168"/>
    </row>
    <row r="951" ht="18.75" customHeight="1">
      <c r="B951" s="168"/>
    </row>
    <row r="952" ht="18.75" customHeight="1">
      <c r="B952" s="168"/>
    </row>
    <row r="953" ht="18.75" customHeight="1">
      <c r="B953" s="168"/>
    </row>
    <row r="954" ht="18.75" customHeight="1">
      <c r="B954" s="168"/>
    </row>
    <row r="955" ht="18.75" customHeight="1">
      <c r="B955" s="168"/>
    </row>
    <row r="956" ht="18.75" customHeight="1">
      <c r="B956" s="168"/>
    </row>
    <row r="957" ht="18.75" customHeight="1">
      <c r="B957" s="168"/>
    </row>
    <row r="958" ht="18.75" customHeight="1">
      <c r="B958" s="168"/>
    </row>
    <row r="959" ht="18.75" customHeight="1">
      <c r="B959" s="168"/>
    </row>
    <row r="960" ht="18.75" customHeight="1">
      <c r="B960" s="168"/>
    </row>
    <row r="961" ht="18.75" customHeight="1">
      <c r="B961" s="168"/>
    </row>
    <row r="962" ht="18.75" customHeight="1">
      <c r="B962" s="168"/>
    </row>
    <row r="963" ht="18.75" customHeight="1">
      <c r="B963" s="168"/>
    </row>
    <row r="964" ht="18.75" customHeight="1">
      <c r="B964" s="168"/>
    </row>
    <row r="965" ht="18.75" customHeight="1">
      <c r="B965" s="168"/>
    </row>
    <row r="966" ht="18.75" customHeight="1">
      <c r="B966" s="168"/>
    </row>
    <row r="967" ht="18.75" customHeight="1">
      <c r="B967" s="168"/>
    </row>
    <row r="968" ht="18.75" customHeight="1">
      <c r="B968" s="168"/>
    </row>
    <row r="969" ht="18.75" customHeight="1">
      <c r="B969" s="168"/>
    </row>
    <row r="970" ht="18.75" customHeight="1">
      <c r="B970" s="168"/>
    </row>
    <row r="971" ht="18.75" customHeight="1">
      <c r="B971" s="168"/>
    </row>
    <row r="972" ht="18.75" customHeight="1">
      <c r="B972" s="168"/>
    </row>
    <row r="973" ht="18.75" customHeight="1">
      <c r="B973" s="168"/>
    </row>
    <row r="974" ht="18.75" customHeight="1">
      <c r="B974" s="168"/>
    </row>
    <row r="975" ht="18.75" customHeight="1">
      <c r="B975" s="168"/>
    </row>
    <row r="976" ht="18.75" customHeight="1">
      <c r="B976" s="168"/>
    </row>
    <row r="977" ht="18.75" customHeight="1">
      <c r="B977" s="168"/>
    </row>
    <row r="978" ht="18.75" customHeight="1">
      <c r="B978" s="168"/>
    </row>
    <row r="979" ht="18.75" customHeight="1">
      <c r="B979" s="168"/>
    </row>
    <row r="980" ht="18.75" customHeight="1">
      <c r="B980" s="168"/>
    </row>
    <row r="981" ht="18.75" customHeight="1">
      <c r="B981" s="168"/>
    </row>
    <row r="982" ht="18.75" customHeight="1">
      <c r="B982" s="168"/>
    </row>
    <row r="983" ht="18.75" customHeight="1">
      <c r="B983" s="168"/>
    </row>
    <row r="984" ht="18.75" customHeight="1">
      <c r="B984" s="168"/>
    </row>
    <row r="985" ht="18.75" customHeight="1">
      <c r="B985" s="168"/>
    </row>
    <row r="986" ht="18.75" customHeight="1">
      <c r="B986" s="168"/>
    </row>
    <row r="987" ht="18.75" customHeight="1">
      <c r="B987" s="168"/>
    </row>
    <row r="988" ht="18.75" customHeight="1">
      <c r="B988" s="168"/>
    </row>
    <row r="989" ht="18.75" customHeight="1">
      <c r="B989" s="168"/>
    </row>
    <row r="990" ht="18.75" customHeight="1">
      <c r="B990" s="168"/>
    </row>
    <row r="991" ht="18.75" customHeight="1">
      <c r="B991" s="168"/>
    </row>
    <row r="992" ht="18.75" customHeight="1">
      <c r="B992" s="168"/>
    </row>
    <row r="993" ht="18.75" customHeight="1">
      <c r="B993" s="168"/>
    </row>
    <row r="994" ht="18.75" customHeight="1">
      <c r="B994" s="168"/>
    </row>
    <row r="995" ht="18.75" customHeight="1">
      <c r="B995" s="168"/>
    </row>
    <row r="996" ht="18.75" customHeight="1">
      <c r="B996" s="168"/>
    </row>
    <row r="997" ht="18.75" customHeight="1">
      <c r="B997" s="168"/>
    </row>
    <row r="998" ht="18.75" customHeight="1">
      <c r="B998" s="168"/>
    </row>
    <row r="999" ht="18.75" customHeight="1">
      <c r="B999" s="168"/>
    </row>
    <row r="1000" ht="18.75" customHeight="1">
      <c r="B1000" s="168"/>
    </row>
  </sheetData>
  <mergeCells count="37">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7:D37"/>
    <mergeCell ref="C38:D38"/>
    <mergeCell ref="C30:D30"/>
    <mergeCell ref="C31:D31"/>
    <mergeCell ref="C32:D32"/>
    <mergeCell ref="C33:D33"/>
    <mergeCell ref="C34:D34"/>
    <mergeCell ref="C35:D35"/>
    <mergeCell ref="C36:D3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5.43"/>
    <col customWidth="1" min="2" max="2" width="7.71"/>
    <col customWidth="1" min="3" max="3" width="10.71"/>
    <col customWidth="1" min="4" max="4" width="109.0"/>
    <col customWidth="1" min="5" max="5" width="10.71"/>
    <col customWidth="1" min="6" max="6" width="6.0"/>
    <col customWidth="1" min="7" max="8" width="10.71"/>
    <col customWidth="1" min="9" max="9" width="15.86"/>
    <col customWidth="1" min="10" max="10" width="10.71"/>
    <col customWidth="1" min="11" max="11" width="14.71"/>
    <col customWidth="1" min="12" max="12" width="10.71"/>
  </cols>
  <sheetData>
    <row r="2">
      <c r="B2" s="52" t="s">
        <v>141</v>
      </c>
      <c r="C2" s="53"/>
      <c r="D2" s="53"/>
      <c r="E2" s="53"/>
      <c r="F2" s="53"/>
      <c r="G2" s="53"/>
      <c r="H2" s="53"/>
      <c r="I2" s="54"/>
      <c r="K2" s="55" t="s">
        <v>9</v>
      </c>
      <c r="L2" s="56"/>
    </row>
    <row r="3">
      <c r="B3" s="57"/>
      <c r="C3" s="57"/>
      <c r="D3" s="57"/>
      <c r="K3" s="44" t="s">
        <v>142</v>
      </c>
      <c r="L3" s="95">
        <f>COUNT(B12:D180)</f>
        <v>169</v>
      </c>
    </row>
    <row r="4">
      <c r="B4" s="59" t="s">
        <v>143</v>
      </c>
      <c r="C4" s="60" t="s">
        <v>144</v>
      </c>
      <c r="K4" s="44" t="s">
        <v>29</v>
      </c>
      <c r="L4" s="95">
        <f>COUNTIF(F12:F180,"X")</f>
        <v>169</v>
      </c>
    </row>
    <row r="5">
      <c r="B5" s="59" t="s">
        <v>145</v>
      </c>
      <c r="C5" s="60" t="s">
        <v>146</v>
      </c>
    </row>
    <row r="6">
      <c r="B6" s="59" t="s">
        <v>147</v>
      </c>
      <c r="C6" s="60" t="s">
        <v>148</v>
      </c>
      <c r="K6" s="44" t="s">
        <v>149</v>
      </c>
      <c r="L6" s="30">
        <f>L3/L4</f>
        <v>1</v>
      </c>
    </row>
    <row r="7">
      <c r="B7" s="63" t="s">
        <v>150</v>
      </c>
      <c r="D7" s="60" t="s">
        <v>151</v>
      </c>
    </row>
    <row r="9">
      <c r="F9" s="65" t="s">
        <v>152</v>
      </c>
      <c r="G9" s="66"/>
      <c r="H9" s="67"/>
      <c r="I9" s="68" t="s">
        <v>153</v>
      </c>
    </row>
    <row r="10">
      <c r="B10" s="185" t="s">
        <v>752</v>
      </c>
      <c r="C10" s="70"/>
      <c r="D10" s="56"/>
      <c r="E10" s="71"/>
      <c r="F10" s="72" t="s">
        <v>143</v>
      </c>
      <c r="G10" s="73" t="s">
        <v>145</v>
      </c>
      <c r="H10" s="73" t="s">
        <v>147</v>
      </c>
      <c r="I10" s="74"/>
      <c r="K10" s="96"/>
    </row>
    <row r="11">
      <c r="B11" s="76"/>
      <c r="C11" s="186"/>
      <c r="D11" s="187"/>
      <c r="I11" s="79"/>
    </row>
    <row r="12" ht="19.5" customHeight="1">
      <c r="B12" s="188">
        <v>1.0</v>
      </c>
      <c r="C12" s="97" t="s">
        <v>753</v>
      </c>
      <c r="D12" s="6"/>
      <c r="E12" s="83"/>
      <c r="F12" s="16" t="s">
        <v>323</v>
      </c>
      <c r="G12" s="16"/>
      <c r="H12" s="16"/>
      <c r="I12" s="44"/>
    </row>
    <row r="13">
      <c r="B13" s="188">
        <v>2.0</v>
      </c>
      <c r="C13" s="97" t="s">
        <v>754</v>
      </c>
      <c r="D13" s="6"/>
      <c r="E13" s="83"/>
      <c r="F13" s="16" t="s">
        <v>323</v>
      </c>
      <c r="G13" s="16"/>
      <c r="H13" s="16"/>
      <c r="I13" s="44"/>
    </row>
    <row r="14">
      <c r="B14" s="188">
        <v>3.0</v>
      </c>
      <c r="C14" s="97" t="s">
        <v>755</v>
      </c>
      <c r="D14" s="6"/>
      <c r="E14" s="83"/>
      <c r="F14" s="16" t="s">
        <v>323</v>
      </c>
      <c r="G14" s="16"/>
      <c r="H14" s="16"/>
      <c r="I14" s="44"/>
    </row>
    <row r="15">
      <c r="B15" s="188">
        <v>4.0</v>
      </c>
      <c r="C15" s="97" t="s">
        <v>756</v>
      </c>
      <c r="D15" s="6"/>
      <c r="E15" s="83"/>
      <c r="F15" s="16" t="s">
        <v>323</v>
      </c>
      <c r="G15" s="16"/>
      <c r="H15" s="16"/>
      <c r="I15" s="44"/>
    </row>
    <row r="16">
      <c r="B16" s="188">
        <v>5.0</v>
      </c>
      <c r="C16" s="97" t="s">
        <v>757</v>
      </c>
      <c r="D16" s="6"/>
      <c r="E16" s="83"/>
      <c r="F16" s="16" t="s">
        <v>323</v>
      </c>
      <c r="G16" s="16"/>
      <c r="H16" s="16"/>
      <c r="I16" s="44"/>
    </row>
    <row r="17">
      <c r="B17" s="188">
        <v>6.0</v>
      </c>
      <c r="C17" s="97" t="s">
        <v>758</v>
      </c>
      <c r="D17" s="6"/>
      <c r="F17" s="16" t="s">
        <v>323</v>
      </c>
      <c r="G17" s="16"/>
      <c r="H17" s="16"/>
      <c r="I17" s="44"/>
    </row>
    <row r="18">
      <c r="B18" s="188">
        <v>7.0</v>
      </c>
      <c r="C18" s="97" t="s">
        <v>759</v>
      </c>
      <c r="D18" s="6"/>
      <c r="F18" s="16" t="s">
        <v>323</v>
      </c>
      <c r="G18" s="16"/>
      <c r="H18" s="16"/>
      <c r="I18" s="44"/>
    </row>
    <row r="19">
      <c r="B19" s="188">
        <v>8.0</v>
      </c>
      <c r="C19" s="97" t="s">
        <v>760</v>
      </c>
      <c r="D19" s="6"/>
      <c r="F19" s="16" t="s">
        <v>323</v>
      </c>
      <c r="G19" s="16"/>
      <c r="H19" s="16"/>
      <c r="I19" s="44"/>
    </row>
    <row r="20">
      <c r="B20" s="188">
        <v>9.0</v>
      </c>
      <c r="C20" s="97" t="s">
        <v>761</v>
      </c>
      <c r="D20" s="6"/>
      <c r="F20" s="16" t="s">
        <v>323</v>
      </c>
      <c r="G20" s="16"/>
      <c r="H20" s="16"/>
      <c r="I20" s="44"/>
    </row>
    <row r="21" ht="15.75" customHeight="1">
      <c r="B21" s="188">
        <v>10.0</v>
      </c>
      <c r="C21" s="97" t="s">
        <v>762</v>
      </c>
      <c r="D21" s="6"/>
      <c r="F21" s="16" t="s">
        <v>323</v>
      </c>
      <c r="G21" s="16"/>
      <c r="H21" s="16"/>
      <c r="I21" s="44"/>
    </row>
    <row r="22" ht="15.75" customHeight="1">
      <c r="B22" s="188">
        <v>11.0</v>
      </c>
      <c r="C22" s="97" t="s">
        <v>763</v>
      </c>
      <c r="D22" s="6"/>
      <c r="F22" s="16" t="s">
        <v>323</v>
      </c>
      <c r="G22" s="16"/>
      <c r="H22" s="16"/>
      <c r="I22" s="44"/>
    </row>
    <row r="23" ht="15.75" customHeight="1">
      <c r="B23" s="188">
        <v>12.0</v>
      </c>
      <c r="C23" s="97" t="s">
        <v>764</v>
      </c>
      <c r="D23" s="6"/>
      <c r="F23" s="16" t="s">
        <v>323</v>
      </c>
      <c r="G23" s="16"/>
      <c r="H23" s="16"/>
      <c r="I23" s="44"/>
    </row>
    <row r="24" ht="15.75" customHeight="1">
      <c r="B24" s="188">
        <v>13.0</v>
      </c>
      <c r="C24" s="97" t="s">
        <v>765</v>
      </c>
      <c r="D24" s="6"/>
      <c r="F24" s="16" t="s">
        <v>323</v>
      </c>
      <c r="G24" s="16"/>
      <c r="H24" s="16"/>
      <c r="I24" s="44"/>
    </row>
    <row r="25" ht="15.75" customHeight="1">
      <c r="B25" s="188">
        <v>14.0</v>
      </c>
      <c r="C25" s="97" t="s">
        <v>766</v>
      </c>
      <c r="D25" s="6"/>
      <c r="F25" s="16" t="s">
        <v>323</v>
      </c>
      <c r="G25" s="16"/>
      <c r="H25" s="16"/>
      <c r="I25" s="44"/>
    </row>
    <row r="26" ht="15.75" customHeight="1">
      <c r="B26" s="188">
        <v>15.0</v>
      </c>
      <c r="C26" s="97" t="s">
        <v>767</v>
      </c>
      <c r="D26" s="6"/>
      <c r="F26" s="16" t="s">
        <v>323</v>
      </c>
      <c r="G26" s="16"/>
      <c r="H26" s="16"/>
      <c r="I26" s="44"/>
    </row>
    <row r="27" ht="15.75" customHeight="1">
      <c r="B27" s="188">
        <v>16.0</v>
      </c>
      <c r="C27" s="97" t="s">
        <v>768</v>
      </c>
      <c r="D27" s="6"/>
      <c r="F27" s="16" t="s">
        <v>323</v>
      </c>
      <c r="G27" s="16"/>
      <c r="H27" s="16"/>
      <c r="I27" s="44"/>
    </row>
    <row r="28" ht="15.75" customHeight="1">
      <c r="B28" s="188">
        <v>17.0</v>
      </c>
      <c r="C28" s="97" t="s">
        <v>769</v>
      </c>
      <c r="D28" s="6"/>
      <c r="F28" s="16" t="s">
        <v>323</v>
      </c>
      <c r="G28" s="16"/>
      <c r="H28" s="16"/>
      <c r="I28" s="44"/>
    </row>
    <row r="29" ht="15.75" customHeight="1">
      <c r="B29" s="188">
        <v>18.0</v>
      </c>
      <c r="C29" s="97" t="s">
        <v>770</v>
      </c>
      <c r="D29" s="6"/>
      <c r="F29" s="16" t="s">
        <v>323</v>
      </c>
      <c r="G29" s="16"/>
      <c r="H29" s="16"/>
      <c r="I29" s="44"/>
    </row>
    <row r="30" ht="15.75" customHeight="1">
      <c r="B30" s="188">
        <v>19.0</v>
      </c>
      <c r="C30" s="97" t="s">
        <v>771</v>
      </c>
      <c r="D30" s="6"/>
      <c r="F30" s="16" t="s">
        <v>323</v>
      </c>
      <c r="G30" s="16"/>
      <c r="H30" s="16"/>
      <c r="I30" s="44"/>
    </row>
    <row r="31" ht="15.75" customHeight="1">
      <c r="B31" s="188">
        <v>20.0</v>
      </c>
      <c r="C31" s="97" t="s">
        <v>772</v>
      </c>
      <c r="D31" s="6"/>
      <c r="F31" s="16" t="s">
        <v>323</v>
      </c>
      <c r="G31" s="16"/>
      <c r="H31" s="16"/>
      <c r="I31" s="44"/>
    </row>
    <row r="32" ht="15.75" customHeight="1">
      <c r="B32" s="188">
        <v>21.0</v>
      </c>
      <c r="C32" s="97" t="s">
        <v>773</v>
      </c>
      <c r="D32" s="6"/>
      <c r="F32" s="16" t="s">
        <v>323</v>
      </c>
      <c r="G32" s="16"/>
      <c r="H32" s="16"/>
      <c r="I32" s="44"/>
    </row>
    <row r="33" ht="15.75" customHeight="1">
      <c r="B33" s="188">
        <v>22.0</v>
      </c>
      <c r="C33" s="97" t="s">
        <v>774</v>
      </c>
      <c r="D33" s="6"/>
      <c r="F33" s="16" t="s">
        <v>323</v>
      </c>
      <c r="G33" s="16"/>
      <c r="H33" s="16"/>
      <c r="I33" s="44"/>
    </row>
    <row r="34" ht="15.75" customHeight="1">
      <c r="B34" s="188">
        <v>23.0</v>
      </c>
      <c r="C34" s="97" t="s">
        <v>775</v>
      </c>
      <c r="D34" s="6"/>
      <c r="F34" s="16" t="s">
        <v>323</v>
      </c>
      <c r="G34" s="16"/>
      <c r="H34" s="16"/>
      <c r="I34" s="44"/>
    </row>
    <row r="35" ht="15.75" customHeight="1">
      <c r="B35" s="188">
        <v>24.0</v>
      </c>
      <c r="C35" s="97" t="s">
        <v>776</v>
      </c>
      <c r="D35" s="6"/>
      <c r="F35" s="16" t="s">
        <v>323</v>
      </c>
      <c r="G35" s="16"/>
      <c r="H35" s="16"/>
      <c r="I35" s="44"/>
    </row>
    <row r="36" ht="15.75" customHeight="1">
      <c r="B36" s="188">
        <v>25.0</v>
      </c>
      <c r="C36" s="97" t="s">
        <v>777</v>
      </c>
      <c r="D36" s="6"/>
      <c r="F36" s="16" t="s">
        <v>323</v>
      </c>
      <c r="G36" s="16"/>
      <c r="H36" s="16"/>
      <c r="I36" s="44"/>
    </row>
    <row r="37" ht="15.75" customHeight="1">
      <c r="B37" s="188">
        <v>26.0</v>
      </c>
      <c r="C37" s="97" t="s">
        <v>778</v>
      </c>
      <c r="D37" s="6"/>
      <c r="F37" s="16" t="s">
        <v>323</v>
      </c>
      <c r="G37" s="16"/>
      <c r="H37" s="16"/>
      <c r="I37" s="44"/>
    </row>
    <row r="38" ht="15.75" customHeight="1">
      <c r="B38" s="188">
        <v>27.0</v>
      </c>
      <c r="C38" s="97" t="s">
        <v>779</v>
      </c>
      <c r="D38" s="6"/>
      <c r="F38" s="16" t="s">
        <v>323</v>
      </c>
      <c r="G38" s="16"/>
      <c r="H38" s="16"/>
      <c r="I38" s="44"/>
    </row>
    <row r="39" ht="15.75" customHeight="1">
      <c r="B39" s="188">
        <v>28.0</v>
      </c>
      <c r="C39" s="97" t="s">
        <v>780</v>
      </c>
      <c r="D39" s="6"/>
      <c r="F39" s="16" t="s">
        <v>323</v>
      </c>
      <c r="G39" s="16"/>
      <c r="H39" s="16"/>
      <c r="I39" s="44"/>
    </row>
    <row r="40" ht="15.75" customHeight="1">
      <c r="B40" s="188">
        <v>29.0</v>
      </c>
      <c r="C40" s="97" t="s">
        <v>781</v>
      </c>
      <c r="D40" s="6"/>
      <c r="F40" s="16" t="s">
        <v>323</v>
      </c>
      <c r="G40" s="16"/>
      <c r="H40" s="16"/>
      <c r="I40" s="44"/>
    </row>
    <row r="41" ht="15.75" customHeight="1">
      <c r="B41" s="188">
        <v>30.0</v>
      </c>
      <c r="C41" s="97" t="s">
        <v>782</v>
      </c>
      <c r="D41" s="6"/>
      <c r="F41" s="16" t="s">
        <v>323</v>
      </c>
      <c r="G41" s="16"/>
      <c r="H41" s="16"/>
      <c r="I41" s="44"/>
    </row>
    <row r="42" ht="15.75" customHeight="1">
      <c r="B42" s="188">
        <v>31.0</v>
      </c>
      <c r="C42" s="97" t="s">
        <v>783</v>
      </c>
      <c r="D42" s="6"/>
      <c r="F42" s="16" t="s">
        <v>323</v>
      </c>
      <c r="G42" s="16"/>
      <c r="H42" s="16"/>
      <c r="I42" s="44"/>
    </row>
    <row r="43" ht="15.75" customHeight="1">
      <c r="B43" s="188">
        <v>32.0</v>
      </c>
      <c r="C43" s="97" t="s">
        <v>784</v>
      </c>
      <c r="D43" s="6"/>
      <c r="F43" s="16" t="s">
        <v>323</v>
      </c>
      <c r="G43" s="16"/>
      <c r="H43" s="16"/>
      <c r="I43" s="44"/>
    </row>
    <row r="44" ht="15.75" customHeight="1">
      <c r="B44" s="188">
        <v>33.0</v>
      </c>
      <c r="C44" s="97" t="s">
        <v>785</v>
      </c>
      <c r="D44" s="6"/>
      <c r="F44" s="16" t="s">
        <v>323</v>
      </c>
      <c r="G44" s="16"/>
      <c r="H44" s="16"/>
      <c r="I44" s="44"/>
    </row>
    <row r="45" ht="15.75" customHeight="1">
      <c r="B45" s="188">
        <v>34.0</v>
      </c>
      <c r="C45" s="97" t="s">
        <v>786</v>
      </c>
      <c r="D45" s="6"/>
      <c r="F45" s="16" t="s">
        <v>323</v>
      </c>
      <c r="G45" s="16"/>
      <c r="H45" s="16"/>
      <c r="I45" s="44"/>
    </row>
    <row r="46" ht="15.75" customHeight="1">
      <c r="B46" s="188">
        <v>35.0</v>
      </c>
      <c r="C46" s="97" t="s">
        <v>787</v>
      </c>
      <c r="D46" s="6"/>
      <c r="F46" s="16" t="s">
        <v>323</v>
      </c>
      <c r="G46" s="16"/>
      <c r="H46" s="16"/>
      <c r="I46" s="44"/>
    </row>
    <row r="47" ht="15.75" customHeight="1">
      <c r="B47" s="188">
        <v>36.0</v>
      </c>
      <c r="C47" s="97" t="s">
        <v>788</v>
      </c>
      <c r="D47" s="6"/>
      <c r="E47" s="83"/>
      <c r="F47" s="16" t="s">
        <v>323</v>
      </c>
      <c r="G47" s="16"/>
      <c r="H47" s="16"/>
      <c r="I47" s="44"/>
    </row>
    <row r="48" ht="15.75" customHeight="1">
      <c r="B48" s="188">
        <v>37.0</v>
      </c>
      <c r="C48" s="97" t="s">
        <v>789</v>
      </c>
      <c r="D48" s="6"/>
      <c r="E48" s="83"/>
      <c r="F48" s="16" t="s">
        <v>323</v>
      </c>
      <c r="G48" s="16"/>
      <c r="H48" s="16"/>
      <c r="I48" s="44"/>
    </row>
    <row r="49" ht="15.75" customHeight="1">
      <c r="B49" s="188">
        <v>38.0</v>
      </c>
      <c r="C49" s="97" t="s">
        <v>790</v>
      </c>
      <c r="D49" s="6"/>
      <c r="E49" s="83"/>
      <c r="F49" s="16" t="s">
        <v>323</v>
      </c>
      <c r="G49" s="16"/>
      <c r="H49" s="16"/>
      <c r="I49" s="44"/>
    </row>
    <row r="50" ht="15.75" customHeight="1">
      <c r="B50" s="188">
        <v>39.0</v>
      </c>
      <c r="C50" s="97" t="s">
        <v>791</v>
      </c>
      <c r="D50" s="6"/>
      <c r="E50" s="83"/>
      <c r="F50" s="16" t="s">
        <v>323</v>
      </c>
      <c r="G50" s="16"/>
      <c r="H50" s="16"/>
      <c r="I50" s="44"/>
    </row>
    <row r="51" ht="15.75" customHeight="1">
      <c r="B51" s="188">
        <v>40.0</v>
      </c>
      <c r="C51" s="97" t="s">
        <v>792</v>
      </c>
      <c r="D51" s="6"/>
      <c r="E51" s="83"/>
      <c r="F51" s="16" t="s">
        <v>323</v>
      </c>
      <c r="G51" s="16"/>
      <c r="H51" s="16"/>
      <c r="I51" s="44"/>
    </row>
    <row r="52" ht="15.75" customHeight="1">
      <c r="B52" s="188">
        <v>41.0</v>
      </c>
      <c r="C52" s="97" t="s">
        <v>793</v>
      </c>
      <c r="D52" s="6"/>
      <c r="F52" s="16" t="s">
        <v>323</v>
      </c>
      <c r="G52" s="16"/>
      <c r="H52" s="16"/>
      <c r="I52" s="44"/>
    </row>
    <row r="53" ht="15.75" customHeight="1">
      <c r="B53" s="188">
        <v>42.0</v>
      </c>
      <c r="C53" s="97" t="s">
        <v>794</v>
      </c>
      <c r="D53" s="6"/>
      <c r="F53" s="16" t="s">
        <v>323</v>
      </c>
      <c r="G53" s="16"/>
      <c r="H53" s="16"/>
      <c r="I53" s="44"/>
    </row>
    <row r="54" ht="15.75" customHeight="1">
      <c r="B54" s="188">
        <v>43.0</v>
      </c>
      <c r="C54" s="97" t="s">
        <v>795</v>
      </c>
      <c r="D54" s="6"/>
      <c r="F54" s="16" t="s">
        <v>323</v>
      </c>
      <c r="G54" s="16"/>
      <c r="H54" s="16"/>
      <c r="I54" s="44"/>
    </row>
    <row r="55" ht="15.75" customHeight="1">
      <c r="B55" s="188">
        <v>44.0</v>
      </c>
      <c r="C55" s="97" t="s">
        <v>796</v>
      </c>
      <c r="D55" s="6"/>
      <c r="F55" s="16" t="s">
        <v>323</v>
      </c>
      <c r="G55" s="16"/>
      <c r="H55" s="16"/>
      <c r="I55" s="44"/>
    </row>
    <row r="56" ht="15.75" customHeight="1">
      <c r="B56" s="188">
        <v>45.0</v>
      </c>
      <c r="C56" s="97" t="s">
        <v>797</v>
      </c>
      <c r="D56" s="6"/>
      <c r="F56" s="16" t="s">
        <v>323</v>
      </c>
      <c r="G56" s="16"/>
      <c r="H56" s="16"/>
      <c r="I56" s="44"/>
    </row>
    <row r="57" ht="15.75" customHeight="1">
      <c r="B57" s="188">
        <v>46.0</v>
      </c>
      <c r="C57" s="97" t="s">
        <v>798</v>
      </c>
      <c r="D57" s="6"/>
      <c r="F57" s="16" t="s">
        <v>323</v>
      </c>
      <c r="G57" s="16"/>
      <c r="H57" s="16"/>
      <c r="I57" s="44"/>
    </row>
    <row r="58" ht="15.75" customHeight="1">
      <c r="B58" s="188">
        <v>47.0</v>
      </c>
      <c r="C58" s="97" t="s">
        <v>799</v>
      </c>
      <c r="D58" s="6"/>
      <c r="F58" s="16" t="s">
        <v>323</v>
      </c>
      <c r="G58" s="16"/>
      <c r="H58" s="16"/>
      <c r="I58" s="44"/>
    </row>
    <row r="59" ht="15.75" customHeight="1">
      <c r="B59" s="188">
        <v>48.0</v>
      </c>
      <c r="C59" s="97" t="s">
        <v>800</v>
      </c>
      <c r="D59" s="6"/>
      <c r="F59" s="16" t="s">
        <v>323</v>
      </c>
      <c r="G59" s="16"/>
      <c r="H59" s="16"/>
      <c r="I59" s="44"/>
    </row>
    <row r="60" ht="15.75" customHeight="1">
      <c r="B60" s="188">
        <v>49.0</v>
      </c>
      <c r="C60" s="97" t="s">
        <v>801</v>
      </c>
      <c r="D60" s="6"/>
      <c r="F60" s="16" t="s">
        <v>323</v>
      </c>
      <c r="G60" s="16"/>
      <c r="H60" s="16"/>
      <c r="I60" s="44"/>
    </row>
    <row r="61" ht="15.75" customHeight="1">
      <c r="B61" s="188">
        <v>50.0</v>
      </c>
      <c r="C61" s="97" t="s">
        <v>802</v>
      </c>
      <c r="D61" s="6"/>
      <c r="F61" s="16" t="s">
        <v>323</v>
      </c>
      <c r="G61" s="16"/>
      <c r="H61" s="16"/>
      <c r="I61" s="44"/>
    </row>
    <row r="62" ht="15.75" customHeight="1">
      <c r="B62" s="188">
        <v>51.0</v>
      </c>
      <c r="C62" s="97" t="s">
        <v>803</v>
      </c>
      <c r="D62" s="6"/>
      <c r="F62" s="16" t="s">
        <v>323</v>
      </c>
      <c r="G62" s="16"/>
      <c r="H62" s="16"/>
      <c r="I62" s="44"/>
    </row>
    <row r="63" ht="15.75" customHeight="1">
      <c r="B63" s="188">
        <v>52.0</v>
      </c>
      <c r="C63" s="97" t="s">
        <v>804</v>
      </c>
      <c r="D63" s="6"/>
      <c r="F63" s="16" t="s">
        <v>323</v>
      </c>
      <c r="G63" s="16"/>
      <c r="H63" s="16"/>
      <c r="I63" s="44"/>
    </row>
    <row r="64" ht="15.75" customHeight="1">
      <c r="B64" s="188">
        <v>53.0</v>
      </c>
      <c r="C64" s="97" t="s">
        <v>805</v>
      </c>
      <c r="D64" s="6"/>
      <c r="F64" s="16" t="s">
        <v>323</v>
      </c>
      <c r="G64" s="16"/>
      <c r="H64" s="16"/>
      <c r="I64" s="44"/>
    </row>
    <row r="65" ht="15.75" customHeight="1">
      <c r="B65" s="188">
        <v>54.0</v>
      </c>
      <c r="C65" s="97" t="s">
        <v>806</v>
      </c>
      <c r="D65" s="6"/>
      <c r="F65" s="16" t="s">
        <v>323</v>
      </c>
      <c r="G65" s="16"/>
      <c r="H65" s="16"/>
      <c r="I65" s="44"/>
    </row>
    <row r="66" ht="15.75" customHeight="1">
      <c r="B66" s="188">
        <v>55.0</v>
      </c>
      <c r="C66" s="97" t="s">
        <v>807</v>
      </c>
      <c r="D66" s="6"/>
      <c r="F66" s="16" t="s">
        <v>323</v>
      </c>
      <c r="G66" s="16"/>
      <c r="H66" s="16"/>
      <c r="I66" s="44"/>
    </row>
    <row r="67" ht="15.75" customHeight="1">
      <c r="B67" s="188">
        <v>56.0</v>
      </c>
      <c r="C67" s="97" t="s">
        <v>808</v>
      </c>
      <c r="D67" s="6"/>
      <c r="E67" s="83"/>
      <c r="F67" s="16" t="s">
        <v>323</v>
      </c>
      <c r="G67" s="16"/>
      <c r="H67" s="16"/>
      <c r="I67" s="44"/>
    </row>
    <row r="68" ht="15.75" customHeight="1">
      <c r="B68" s="188">
        <v>57.0</v>
      </c>
      <c r="C68" s="97" t="s">
        <v>809</v>
      </c>
      <c r="D68" s="6"/>
      <c r="E68" s="83"/>
      <c r="F68" s="16" t="s">
        <v>323</v>
      </c>
      <c r="G68" s="16"/>
      <c r="H68" s="16"/>
      <c r="I68" s="44"/>
    </row>
    <row r="69" ht="15.75" customHeight="1">
      <c r="B69" s="188">
        <v>58.0</v>
      </c>
      <c r="C69" s="97" t="s">
        <v>810</v>
      </c>
      <c r="D69" s="6"/>
      <c r="E69" s="83"/>
      <c r="F69" s="16" t="s">
        <v>323</v>
      </c>
      <c r="G69" s="16"/>
      <c r="H69" s="16"/>
      <c r="I69" s="44"/>
    </row>
    <row r="70" ht="15.75" customHeight="1">
      <c r="B70" s="188">
        <v>59.0</v>
      </c>
      <c r="C70" s="97" t="s">
        <v>811</v>
      </c>
      <c r="D70" s="6"/>
      <c r="E70" s="83"/>
      <c r="F70" s="16" t="s">
        <v>323</v>
      </c>
      <c r="G70" s="16"/>
      <c r="H70" s="16"/>
      <c r="I70" s="44"/>
    </row>
    <row r="71" ht="15.75" customHeight="1">
      <c r="B71" s="188">
        <v>60.0</v>
      </c>
      <c r="C71" s="97" t="s">
        <v>812</v>
      </c>
      <c r="D71" s="6"/>
      <c r="E71" s="83"/>
      <c r="F71" s="16" t="s">
        <v>323</v>
      </c>
      <c r="G71" s="16"/>
      <c r="H71" s="16"/>
      <c r="I71" s="44"/>
    </row>
    <row r="72" ht="15.75" customHeight="1">
      <c r="B72" s="188">
        <v>61.0</v>
      </c>
      <c r="C72" s="97" t="s">
        <v>813</v>
      </c>
      <c r="D72" s="6"/>
      <c r="F72" s="16" t="s">
        <v>323</v>
      </c>
      <c r="G72" s="16"/>
      <c r="H72" s="16"/>
      <c r="I72" s="44"/>
    </row>
    <row r="73" ht="15.75" customHeight="1">
      <c r="B73" s="188">
        <v>62.0</v>
      </c>
      <c r="C73" s="97" t="s">
        <v>814</v>
      </c>
      <c r="D73" s="6"/>
      <c r="F73" s="16" t="s">
        <v>323</v>
      </c>
      <c r="G73" s="16"/>
      <c r="H73" s="16"/>
      <c r="I73" s="44"/>
    </row>
    <row r="74" ht="15.75" customHeight="1">
      <c r="B74" s="188">
        <v>63.0</v>
      </c>
      <c r="C74" s="97" t="s">
        <v>815</v>
      </c>
      <c r="D74" s="6"/>
      <c r="F74" s="16" t="s">
        <v>323</v>
      </c>
      <c r="G74" s="16"/>
      <c r="H74" s="16"/>
      <c r="I74" s="44"/>
    </row>
    <row r="75" ht="15.75" customHeight="1">
      <c r="B75" s="188">
        <v>64.0</v>
      </c>
      <c r="C75" s="97" t="s">
        <v>816</v>
      </c>
      <c r="D75" s="6"/>
      <c r="F75" s="16" t="s">
        <v>323</v>
      </c>
      <c r="G75" s="16"/>
      <c r="H75" s="16"/>
      <c r="I75" s="44"/>
    </row>
    <row r="76" ht="15.75" customHeight="1">
      <c r="B76" s="188">
        <v>65.0</v>
      </c>
      <c r="C76" s="97" t="s">
        <v>817</v>
      </c>
      <c r="D76" s="6"/>
      <c r="F76" s="16" t="s">
        <v>323</v>
      </c>
      <c r="G76" s="16"/>
      <c r="H76" s="16"/>
      <c r="I76" s="44"/>
    </row>
    <row r="77" ht="15.75" customHeight="1">
      <c r="B77" s="188">
        <v>66.0</v>
      </c>
      <c r="C77" s="97" t="s">
        <v>818</v>
      </c>
      <c r="D77" s="6"/>
      <c r="F77" s="16" t="s">
        <v>323</v>
      </c>
      <c r="G77" s="16"/>
      <c r="H77" s="16"/>
      <c r="I77" s="44"/>
    </row>
    <row r="78" ht="15.75" customHeight="1">
      <c r="B78" s="188">
        <v>67.0</v>
      </c>
      <c r="C78" s="97" t="s">
        <v>819</v>
      </c>
      <c r="D78" s="6"/>
      <c r="F78" s="16" t="s">
        <v>323</v>
      </c>
      <c r="G78" s="16"/>
      <c r="H78" s="16"/>
      <c r="I78" s="44"/>
    </row>
    <row r="79" ht="15.75" customHeight="1">
      <c r="B79" s="188">
        <v>68.0</v>
      </c>
      <c r="C79" s="97" t="s">
        <v>820</v>
      </c>
      <c r="D79" s="6"/>
      <c r="F79" s="16" t="s">
        <v>323</v>
      </c>
      <c r="G79" s="16"/>
      <c r="H79" s="16"/>
      <c r="I79" s="44"/>
    </row>
    <row r="80" ht="15.75" customHeight="1">
      <c r="B80" s="188">
        <v>69.0</v>
      </c>
      <c r="C80" s="97" t="s">
        <v>821</v>
      </c>
      <c r="D80" s="6"/>
      <c r="F80" s="16" t="s">
        <v>323</v>
      </c>
      <c r="G80" s="16"/>
      <c r="H80" s="16"/>
      <c r="I80" s="44"/>
    </row>
    <row r="81" ht="15.75" customHeight="1">
      <c r="B81" s="188">
        <v>70.0</v>
      </c>
      <c r="C81" s="97" t="s">
        <v>822</v>
      </c>
      <c r="D81" s="6"/>
      <c r="F81" s="16" t="s">
        <v>323</v>
      </c>
      <c r="G81" s="16"/>
      <c r="H81" s="16"/>
      <c r="I81" s="44"/>
    </row>
    <row r="82" ht="15.75" customHeight="1">
      <c r="B82" s="188">
        <v>71.0</v>
      </c>
      <c r="C82" s="97" t="s">
        <v>823</v>
      </c>
      <c r="D82" s="6"/>
      <c r="F82" s="16" t="s">
        <v>323</v>
      </c>
      <c r="G82" s="16"/>
      <c r="H82" s="16"/>
      <c r="I82" s="44"/>
    </row>
    <row r="83" ht="15.75" customHeight="1">
      <c r="B83" s="188">
        <v>72.0</v>
      </c>
      <c r="C83" s="97" t="s">
        <v>824</v>
      </c>
      <c r="D83" s="6"/>
      <c r="F83" s="16" t="s">
        <v>323</v>
      </c>
      <c r="G83" s="16"/>
      <c r="H83" s="16"/>
      <c r="I83" s="44"/>
    </row>
    <row r="84" ht="15.75" customHeight="1">
      <c r="B84" s="188">
        <v>73.0</v>
      </c>
      <c r="C84" s="97" t="s">
        <v>825</v>
      </c>
      <c r="D84" s="6"/>
      <c r="F84" s="16" t="s">
        <v>323</v>
      </c>
      <c r="G84" s="16"/>
      <c r="H84" s="16"/>
      <c r="I84" s="44"/>
    </row>
    <row r="85" ht="15.75" customHeight="1">
      <c r="B85" s="188">
        <v>74.0</v>
      </c>
      <c r="C85" s="97" t="s">
        <v>826</v>
      </c>
      <c r="D85" s="6"/>
      <c r="F85" s="16" t="s">
        <v>323</v>
      </c>
      <c r="G85" s="16"/>
      <c r="H85" s="16"/>
      <c r="I85" s="44"/>
    </row>
    <row r="86" ht="15.75" customHeight="1">
      <c r="B86" s="188">
        <v>75.0</v>
      </c>
      <c r="C86" s="97" t="s">
        <v>827</v>
      </c>
      <c r="D86" s="6"/>
      <c r="F86" s="16" t="s">
        <v>323</v>
      </c>
      <c r="G86" s="16"/>
      <c r="H86" s="16"/>
      <c r="I86" s="44"/>
    </row>
    <row r="87" ht="15.75" customHeight="1">
      <c r="B87" s="188">
        <v>76.0</v>
      </c>
      <c r="C87" s="97" t="s">
        <v>828</v>
      </c>
      <c r="D87" s="6"/>
      <c r="F87" s="16" t="s">
        <v>323</v>
      </c>
      <c r="G87" s="16"/>
      <c r="H87" s="16"/>
      <c r="I87" s="44"/>
    </row>
    <row r="88" ht="15.75" customHeight="1">
      <c r="B88" s="188">
        <v>77.0</v>
      </c>
      <c r="C88" s="97" t="s">
        <v>829</v>
      </c>
      <c r="D88" s="6"/>
      <c r="F88" s="16" t="s">
        <v>323</v>
      </c>
      <c r="G88" s="16"/>
      <c r="H88" s="16"/>
      <c r="I88" s="44"/>
    </row>
    <row r="89" ht="15.75" customHeight="1">
      <c r="B89" s="188">
        <v>78.0</v>
      </c>
      <c r="C89" s="97" t="s">
        <v>830</v>
      </c>
      <c r="D89" s="6"/>
      <c r="F89" s="16" t="s">
        <v>323</v>
      </c>
      <c r="G89" s="16"/>
      <c r="H89" s="16"/>
      <c r="I89" s="44"/>
    </row>
    <row r="90" ht="15.75" customHeight="1">
      <c r="B90" s="188">
        <v>79.0</v>
      </c>
      <c r="C90" s="97" t="s">
        <v>831</v>
      </c>
      <c r="D90" s="6"/>
      <c r="F90" s="16" t="s">
        <v>323</v>
      </c>
      <c r="G90" s="16"/>
      <c r="H90" s="16"/>
      <c r="I90" s="44"/>
    </row>
    <row r="91" ht="15.75" customHeight="1">
      <c r="B91" s="188">
        <v>80.0</v>
      </c>
      <c r="C91" s="97" t="s">
        <v>832</v>
      </c>
      <c r="D91" s="6"/>
      <c r="F91" s="16" t="s">
        <v>323</v>
      </c>
      <c r="G91" s="16"/>
      <c r="H91" s="16"/>
      <c r="I91" s="44"/>
    </row>
    <row r="92" ht="15.75" customHeight="1">
      <c r="B92" s="188">
        <v>81.0</v>
      </c>
      <c r="C92" s="97" t="s">
        <v>833</v>
      </c>
      <c r="D92" s="6"/>
      <c r="F92" s="16" t="s">
        <v>323</v>
      </c>
      <c r="G92" s="16"/>
      <c r="H92" s="16"/>
      <c r="I92" s="44"/>
    </row>
    <row r="93" ht="15.75" customHeight="1">
      <c r="B93" s="188">
        <v>82.0</v>
      </c>
      <c r="C93" s="97" t="s">
        <v>834</v>
      </c>
      <c r="D93" s="6"/>
      <c r="F93" s="16" t="s">
        <v>323</v>
      </c>
      <c r="G93" s="16"/>
      <c r="H93" s="16"/>
      <c r="I93" s="44"/>
    </row>
    <row r="94" ht="15.75" customHeight="1">
      <c r="B94" s="188">
        <v>83.0</v>
      </c>
      <c r="C94" s="97" t="s">
        <v>835</v>
      </c>
      <c r="D94" s="6"/>
      <c r="F94" s="16" t="s">
        <v>323</v>
      </c>
      <c r="G94" s="16"/>
      <c r="H94" s="16"/>
      <c r="I94" s="44"/>
    </row>
    <row r="95" ht="15.75" customHeight="1">
      <c r="B95" s="188">
        <v>84.0</v>
      </c>
      <c r="C95" s="97" t="s">
        <v>836</v>
      </c>
      <c r="D95" s="6"/>
      <c r="F95" s="16" t="s">
        <v>323</v>
      </c>
      <c r="G95" s="16"/>
      <c r="H95" s="16"/>
      <c r="I95" s="44"/>
    </row>
    <row r="96" ht="15.75" customHeight="1">
      <c r="B96" s="188">
        <v>85.0</v>
      </c>
      <c r="C96" s="97" t="s">
        <v>837</v>
      </c>
      <c r="D96" s="6"/>
      <c r="F96" s="16" t="s">
        <v>323</v>
      </c>
      <c r="G96" s="16"/>
      <c r="H96" s="16"/>
      <c r="I96" s="44"/>
    </row>
    <row r="97" ht="15.75" customHeight="1">
      <c r="B97" s="188">
        <v>86.0</v>
      </c>
      <c r="C97" s="97" t="s">
        <v>838</v>
      </c>
      <c r="D97" s="6"/>
      <c r="E97" s="83"/>
      <c r="F97" s="16" t="s">
        <v>323</v>
      </c>
      <c r="G97" s="16"/>
      <c r="H97" s="16"/>
      <c r="I97" s="44"/>
    </row>
    <row r="98" ht="15.75" customHeight="1">
      <c r="B98" s="188">
        <v>87.0</v>
      </c>
      <c r="C98" s="97" t="s">
        <v>839</v>
      </c>
      <c r="D98" s="6"/>
      <c r="E98" s="83"/>
      <c r="F98" s="16" t="s">
        <v>323</v>
      </c>
      <c r="G98" s="16"/>
      <c r="H98" s="16"/>
      <c r="I98" s="44"/>
    </row>
    <row r="99" ht="15.75" customHeight="1">
      <c r="B99" s="188">
        <v>88.0</v>
      </c>
      <c r="C99" s="97" t="s">
        <v>840</v>
      </c>
      <c r="D99" s="6"/>
      <c r="E99" s="83"/>
      <c r="F99" s="16" t="s">
        <v>323</v>
      </c>
      <c r="G99" s="16"/>
      <c r="H99" s="16"/>
      <c r="I99" s="44"/>
    </row>
    <row r="100" ht="15.75" customHeight="1">
      <c r="B100" s="188">
        <v>89.0</v>
      </c>
      <c r="C100" s="97" t="s">
        <v>841</v>
      </c>
      <c r="D100" s="6"/>
      <c r="E100" s="83"/>
      <c r="F100" s="16" t="s">
        <v>323</v>
      </c>
      <c r="G100" s="16"/>
      <c r="H100" s="16"/>
      <c r="I100" s="44"/>
    </row>
    <row r="101" ht="15.75" customHeight="1">
      <c r="B101" s="188">
        <v>90.0</v>
      </c>
      <c r="C101" s="97" t="s">
        <v>842</v>
      </c>
      <c r="D101" s="6"/>
      <c r="E101" s="83"/>
      <c r="F101" s="16" t="s">
        <v>323</v>
      </c>
      <c r="G101" s="16"/>
      <c r="H101" s="16"/>
      <c r="I101" s="44"/>
    </row>
    <row r="102" ht="15.75" customHeight="1">
      <c r="B102" s="188">
        <v>91.0</v>
      </c>
      <c r="C102" s="97" t="s">
        <v>843</v>
      </c>
      <c r="D102" s="6"/>
      <c r="F102" s="16" t="s">
        <v>323</v>
      </c>
      <c r="G102" s="16"/>
      <c r="H102" s="16"/>
      <c r="I102" s="44"/>
    </row>
    <row r="103" ht="15.75" customHeight="1">
      <c r="B103" s="188">
        <v>92.0</v>
      </c>
      <c r="C103" s="97" t="s">
        <v>844</v>
      </c>
      <c r="D103" s="6"/>
      <c r="F103" s="16" t="s">
        <v>323</v>
      </c>
      <c r="G103" s="16"/>
      <c r="H103" s="16"/>
      <c r="I103" s="44"/>
    </row>
    <row r="104" ht="15.75" customHeight="1">
      <c r="B104" s="188">
        <v>93.0</v>
      </c>
      <c r="C104" s="97" t="s">
        <v>845</v>
      </c>
      <c r="D104" s="6"/>
      <c r="F104" s="16" t="s">
        <v>323</v>
      </c>
      <c r="G104" s="16"/>
      <c r="H104" s="16"/>
      <c r="I104" s="44"/>
    </row>
    <row r="105" ht="15.75" customHeight="1">
      <c r="B105" s="188">
        <v>94.0</v>
      </c>
      <c r="C105" s="97" t="s">
        <v>846</v>
      </c>
      <c r="D105" s="6"/>
      <c r="F105" s="16" t="s">
        <v>323</v>
      </c>
      <c r="G105" s="16"/>
      <c r="H105" s="16"/>
      <c r="I105" s="44"/>
    </row>
    <row r="106" ht="15.75" customHeight="1">
      <c r="B106" s="188">
        <v>95.0</v>
      </c>
      <c r="C106" s="97" t="s">
        <v>847</v>
      </c>
      <c r="D106" s="6"/>
      <c r="F106" s="16" t="s">
        <v>323</v>
      </c>
      <c r="G106" s="16"/>
      <c r="H106" s="16"/>
      <c r="I106" s="44"/>
    </row>
    <row r="107" ht="15.75" customHeight="1">
      <c r="B107" s="188">
        <v>96.0</v>
      </c>
      <c r="C107" s="97" t="s">
        <v>848</v>
      </c>
      <c r="D107" s="6"/>
      <c r="F107" s="16" t="s">
        <v>323</v>
      </c>
      <c r="G107" s="16"/>
      <c r="H107" s="16"/>
      <c r="I107" s="44"/>
    </row>
    <row r="108" ht="15.75" customHeight="1">
      <c r="B108" s="188">
        <v>97.0</v>
      </c>
      <c r="C108" s="97" t="s">
        <v>849</v>
      </c>
      <c r="D108" s="6"/>
      <c r="F108" s="16" t="s">
        <v>323</v>
      </c>
      <c r="G108" s="16"/>
      <c r="H108" s="16"/>
      <c r="I108" s="44"/>
    </row>
    <row r="109" ht="15.75" customHeight="1">
      <c r="B109" s="188">
        <v>98.0</v>
      </c>
      <c r="C109" s="97" t="s">
        <v>850</v>
      </c>
      <c r="D109" s="6"/>
      <c r="E109" s="83"/>
      <c r="F109" s="16" t="s">
        <v>323</v>
      </c>
      <c r="G109" s="16"/>
      <c r="H109" s="16"/>
      <c r="I109" s="44"/>
    </row>
    <row r="110" ht="15.75" customHeight="1">
      <c r="B110" s="188">
        <v>99.0</v>
      </c>
      <c r="C110" s="97" t="s">
        <v>851</v>
      </c>
      <c r="D110" s="6"/>
      <c r="E110" s="83"/>
      <c r="F110" s="16" t="s">
        <v>323</v>
      </c>
      <c r="G110" s="16"/>
      <c r="H110" s="16"/>
      <c r="I110" s="44"/>
    </row>
    <row r="111" ht="15.75" customHeight="1">
      <c r="B111" s="188">
        <v>100.0</v>
      </c>
      <c r="C111" s="97" t="s">
        <v>852</v>
      </c>
      <c r="D111" s="6"/>
      <c r="E111" s="83"/>
      <c r="F111" s="16" t="s">
        <v>323</v>
      </c>
      <c r="G111" s="16"/>
      <c r="H111" s="16"/>
      <c r="I111" s="44"/>
    </row>
    <row r="112" ht="15.75" customHeight="1">
      <c r="B112" s="188">
        <v>101.0</v>
      </c>
      <c r="C112" s="97" t="s">
        <v>853</v>
      </c>
      <c r="D112" s="6"/>
      <c r="E112" s="83"/>
      <c r="F112" s="16" t="s">
        <v>323</v>
      </c>
      <c r="G112" s="16"/>
      <c r="H112" s="16"/>
      <c r="I112" s="44"/>
    </row>
    <row r="113" ht="15.75" customHeight="1">
      <c r="B113" s="188">
        <v>102.0</v>
      </c>
      <c r="C113" s="97" t="s">
        <v>854</v>
      </c>
      <c r="D113" s="6"/>
      <c r="E113" s="83"/>
      <c r="F113" s="16" t="s">
        <v>323</v>
      </c>
      <c r="G113" s="16"/>
      <c r="H113" s="16"/>
      <c r="I113" s="44"/>
    </row>
    <row r="114" ht="15.75" customHeight="1">
      <c r="B114" s="188">
        <v>103.0</v>
      </c>
      <c r="C114" s="97" t="s">
        <v>855</v>
      </c>
      <c r="D114" s="6"/>
      <c r="F114" s="16" t="s">
        <v>323</v>
      </c>
      <c r="G114" s="16"/>
      <c r="H114" s="16"/>
      <c r="I114" s="44"/>
    </row>
    <row r="115" ht="15.75" customHeight="1">
      <c r="B115" s="188">
        <v>104.0</v>
      </c>
      <c r="C115" s="97" t="s">
        <v>856</v>
      </c>
      <c r="D115" s="6"/>
      <c r="F115" s="16" t="s">
        <v>323</v>
      </c>
      <c r="G115" s="16"/>
      <c r="H115" s="16"/>
      <c r="I115" s="44"/>
    </row>
    <row r="116" ht="15.75" customHeight="1">
      <c r="B116" s="188">
        <v>105.0</v>
      </c>
      <c r="C116" s="97" t="s">
        <v>857</v>
      </c>
      <c r="D116" s="6"/>
      <c r="F116" s="16" t="s">
        <v>323</v>
      </c>
      <c r="G116" s="16"/>
      <c r="H116" s="16"/>
      <c r="I116" s="44"/>
    </row>
    <row r="117" ht="15.75" customHeight="1">
      <c r="B117" s="188">
        <v>106.0</v>
      </c>
      <c r="C117" s="97" t="s">
        <v>858</v>
      </c>
      <c r="D117" s="6"/>
      <c r="F117" s="16" t="s">
        <v>323</v>
      </c>
      <c r="G117" s="16"/>
      <c r="H117" s="16"/>
      <c r="I117" s="44"/>
    </row>
    <row r="118" ht="15.75" customHeight="1">
      <c r="B118" s="188">
        <v>107.0</v>
      </c>
      <c r="C118" s="97" t="s">
        <v>859</v>
      </c>
      <c r="D118" s="6"/>
      <c r="F118" s="16" t="s">
        <v>323</v>
      </c>
      <c r="G118" s="16"/>
      <c r="H118" s="16"/>
      <c r="I118" s="44"/>
    </row>
    <row r="119" ht="15.75" customHeight="1">
      <c r="B119" s="188">
        <v>108.0</v>
      </c>
      <c r="C119" s="97" t="s">
        <v>860</v>
      </c>
      <c r="D119" s="6"/>
      <c r="F119" s="16" t="s">
        <v>323</v>
      </c>
      <c r="G119" s="16"/>
      <c r="H119" s="16"/>
      <c r="I119" s="44"/>
    </row>
    <row r="120" ht="15.75" customHeight="1">
      <c r="B120" s="188">
        <v>109.0</v>
      </c>
      <c r="C120" s="97" t="s">
        <v>861</v>
      </c>
      <c r="D120" s="6"/>
      <c r="F120" s="16" t="s">
        <v>323</v>
      </c>
      <c r="G120" s="16"/>
      <c r="H120" s="16"/>
      <c r="I120" s="44"/>
    </row>
    <row r="121" ht="15.75" customHeight="1">
      <c r="B121" s="188">
        <v>110.0</v>
      </c>
      <c r="C121" s="97" t="s">
        <v>862</v>
      </c>
      <c r="D121" s="6"/>
      <c r="F121" s="16" t="s">
        <v>323</v>
      </c>
      <c r="G121" s="16"/>
      <c r="H121" s="16"/>
      <c r="I121" s="44"/>
    </row>
    <row r="122" ht="15.75" customHeight="1">
      <c r="B122" s="188">
        <v>111.0</v>
      </c>
      <c r="C122" s="97" t="s">
        <v>863</v>
      </c>
      <c r="D122" s="6"/>
      <c r="F122" s="16" t="s">
        <v>323</v>
      </c>
      <c r="G122" s="16"/>
      <c r="H122" s="16"/>
      <c r="I122" s="44"/>
    </row>
    <row r="123" ht="15.75" customHeight="1">
      <c r="B123" s="188">
        <v>112.0</v>
      </c>
      <c r="C123" s="97" t="s">
        <v>864</v>
      </c>
      <c r="D123" s="6"/>
      <c r="F123" s="16" t="s">
        <v>323</v>
      </c>
      <c r="G123" s="16"/>
      <c r="H123" s="16"/>
      <c r="I123" s="44"/>
    </row>
    <row r="124" ht="15.75" customHeight="1">
      <c r="B124" s="188">
        <v>113.0</v>
      </c>
      <c r="C124" s="97" t="s">
        <v>865</v>
      </c>
      <c r="D124" s="6"/>
      <c r="F124" s="16" t="s">
        <v>323</v>
      </c>
      <c r="G124" s="16"/>
      <c r="H124" s="16"/>
      <c r="I124" s="44"/>
    </row>
    <row r="125" ht="15.75" customHeight="1">
      <c r="B125" s="188">
        <v>114.0</v>
      </c>
      <c r="C125" s="97" t="s">
        <v>866</v>
      </c>
      <c r="D125" s="6"/>
      <c r="F125" s="16" t="s">
        <v>323</v>
      </c>
      <c r="G125" s="16"/>
      <c r="H125" s="16"/>
      <c r="I125" s="44"/>
    </row>
    <row r="126" ht="15.75" customHeight="1">
      <c r="B126" s="188">
        <v>115.0</v>
      </c>
      <c r="C126" s="97" t="s">
        <v>867</v>
      </c>
      <c r="D126" s="6"/>
      <c r="F126" s="16" t="s">
        <v>323</v>
      </c>
      <c r="G126" s="16"/>
      <c r="H126" s="16"/>
      <c r="I126" s="44"/>
    </row>
    <row r="127" ht="15.75" customHeight="1">
      <c r="B127" s="188">
        <v>116.0</v>
      </c>
      <c r="C127" s="97" t="s">
        <v>868</v>
      </c>
      <c r="D127" s="6"/>
      <c r="F127" s="16" t="s">
        <v>323</v>
      </c>
      <c r="G127" s="16"/>
      <c r="H127" s="16"/>
      <c r="I127" s="44"/>
    </row>
    <row r="128" ht="15.75" customHeight="1">
      <c r="B128" s="188">
        <v>117.0</v>
      </c>
      <c r="C128" s="97" t="s">
        <v>869</v>
      </c>
      <c r="D128" s="6"/>
      <c r="F128" s="16" t="s">
        <v>323</v>
      </c>
      <c r="G128" s="16"/>
      <c r="H128" s="16"/>
      <c r="I128" s="44"/>
    </row>
    <row r="129" ht="15.75" customHeight="1">
      <c r="B129" s="188">
        <v>118.0</v>
      </c>
      <c r="C129" s="97" t="s">
        <v>870</v>
      </c>
      <c r="D129" s="6"/>
      <c r="F129" s="16" t="s">
        <v>323</v>
      </c>
      <c r="G129" s="16"/>
      <c r="H129" s="16"/>
      <c r="I129" s="44"/>
    </row>
    <row r="130" ht="15.75" customHeight="1">
      <c r="B130" s="188">
        <v>119.0</v>
      </c>
      <c r="C130" s="97" t="s">
        <v>871</v>
      </c>
      <c r="D130" s="6"/>
      <c r="F130" s="16" t="s">
        <v>323</v>
      </c>
      <c r="G130" s="16"/>
      <c r="H130" s="16"/>
      <c r="I130" s="44"/>
    </row>
    <row r="131" ht="15.75" customHeight="1">
      <c r="B131" s="188">
        <v>120.0</v>
      </c>
      <c r="C131" s="97" t="s">
        <v>872</v>
      </c>
      <c r="D131" s="6"/>
      <c r="F131" s="16" t="s">
        <v>323</v>
      </c>
      <c r="G131" s="16"/>
      <c r="H131" s="16"/>
      <c r="I131" s="44"/>
    </row>
    <row r="132" ht="15.75" customHeight="1">
      <c r="B132" s="188">
        <v>121.0</v>
      </c>
      <c r="C132" s="97" t="s">
        <v>873</v>
      </c>
      <c r="D132" s="6"/>
      <c r="F132" s="16" t="s">
        <v>323</v>
      </c>
      <c r="G132" s="16"/>
      <c r="H132" s="16"/>
      <c r="I132" s="44"/>
    </row>
    <row r="133" ht="15.75" customHeight="1">
      <c r="B133" s="188">
        <v>122.0</v>
      </c>
      <c r="C133" s="97" t="s">
        <v>874</v>
      </c>
      <c r="D133" s="6"/>
      <c r="F133" s="16" t="s">
        <v>323</v>
      </c>
      <c r="G133" s="16"/>
      <c r="H133" s="16"/>
      <c r="I133" s="44"/>
    </row>
    <row r="134" ht="15.75" customHeight="1">
      <c r="B134" s="188">
        <v>123.0</v>
      </c>
      <c r="C134" s="97" t="s">
        <v>875</v>
      </c>
      <c r="D134" s="6"/>
      <c r="F134" s="16" t="s">
        <v>323</v>
      </c>
      <c r="G134" s="16"/>
      <c r="H134" s="16"/>
      <c r="I134" s="44"/>
    </row>
    <row r="135" ht="15.75" customHeight="1">
      <c r="B135" s="188">
        <v>124.0</v>
      </c>
      <c r="C135" s="97" t="s">
        <v>876</v>
      </c>
      <c r="D135" s="6"/>
      <c r="F135" s="16" t="s">
        <v>323</v>
      </c>
      <c r="G135" s="16"/>
      <c r="H135" s="16"/>
      <c r="I135" s="44"/>
    </row>
    <row r="136" ht="15.75" customHeight="1">
      <c r="B136" s="188">
        <v>125.0</v>
      </c>
      <c r="C136" s="97" t="s">
        <v>877</v>
      </c>
      <c r="D136" s="6"/>
      <c r="F136" s="16" t="s">
        <v>323</v>
      </c>
      <c r="G136" s="16"/>
      <c r="H136" s="16"/>
      <c r="I136" s="44"/>
    </row>
    <row r="137" ht="15.75" customHeight="1">
      <c r="B137" s="188">
        <v>126.0</v>
      </c>
      <c r="C137" s="97" t="s">
        <v>878</v>
      </c>
      <c r="D137" s="6"/>
      <c r="F137" s="16" t="s">
        <v>323</v>
      </c>
      <c r="G137" s="16"/>
      <c r="H137" s="16"/>
      <c r="I137" s="44"/>
    </row>
    <row r="138" ht="15.75" customHeight="1">
      <c r="B138" s="188">
        <v>127.0</v>
      </c>
      <c r="C138" s="97" t="s">
        <v>879</v>
      </c>
      <c r="D138" s="6"/>
      <c r="F138" s="16" t="s">
        <v>323</v>
      </c>
      <c r="G138" s="16"/>
      <c r="H138" s="16"/>
      <c r="I138" s="44"/>
    </row>
    <row r="139" ht="15.75" customHeight="1">
      <c r="B139" s="188">
        <v>128.0</v>
      </c>
      <c r="C139" s="97" t="s">
        <v>880</v>
      </c>
      <c r="D139" s="6"/>
      <c r="F139" s="16" t="s">
        <v>323</v>
      </c>
      <c r="G139" s="16"/>
      <c r="H139" s="16"/>
      <c r="I139" s="44"/>
    </row>
    <row r="140" ht="15.75" customHeight="1">
      <c r="B140" s="188">
        <v>129.0</v>
      </c>
      <c r="C140" s="97" t="s">
        <v>881</v>
      </c>
      <c r="D140" s="6"/>
      <c r="F140" s="16" t="s">
        <v>323</v>
      </c>
      <c r="G140" s="16"/>
      <c r="H140" s="16"/>
      <c r="I140" s="44"/>
    </row>
    <row r="141" ht="15.75" customHeight="1">
      <c r="B141" s="188">
        <v>130.0</v>
      </c>
      <c r="C141" s="97" t="s">
        <v>882</v>
      </c>
      <c r="D141" s="6"/>
      <c r="F141" s="16" t="s">
        <v>323</v>
      </c>
      <c r="G141" s="16"/>
      <c r="H141" s="16"/>
      <c r="I141" s="44"/>
    </row>
    <row r="142" ht="15.75" customHeight="1">
      <c r="B142" s="188">
        <v>131.0</v>
      </c>
      <c r="C142" s="97" t="s">
        <v>883</v>
      </c>
      <c r="D142" s="6"/>
      <c r="F142" s="16" t="s">
        <v>323</v>
      </c>
      <c r="G142" s="16"/>
      <c r="H142" s="16"/>
      <c r="I142" s="44"/>
    </row>
    <row r="143" ht="15.75" customHeight="1">
      <c r="B143" s="188">
        <v>132.0</v>
      </c>
      <c r="C143" s="97" t="s">
        <v>884</v>
      </c>
      <c r="D143" s="6"/>
      <c r="F143" s="16" t="s">
        <v>323</v>
      </c>
      <c r="G143" s="16"/>
      <c r="H143" s="16"/>
      <c r="I143" s="44"/>
    </row>
    <row r="144" ht="15.75" customHeight="1">
      <c r="B144" s="188">
        <v>133.0</v>
      </c>
      <c r="C144" s="97" t="s">
        <v>885</v>
      </c>
      <c r="D144" s="6"/>
      <c r="E144" s="83"/>
      <c r="F144" s="16" t="s">
        <v>323</v>
      </c>
      <c r="G144" s="16"/>
      <c r="H144" s="16"/>
      <c r="I144" s="44"/>
    </row>
    <row r="145" ht="15.75" customHeight="1">
      <c r="B145" s="188">
        <v>134.0</v>
      </c>
      <c r="C145" s="97" t="s">
        <v>886</v>
      </c>
      <c r="D145" s="6"/>
      <c r="E145" s="83"/>
      <c r="F145" s="16" t="s">
        <v>323</v>
      </c>
      <c r="G145" s="16"/>
      <c r="H145" s="16"/>
      <c r="I145" s="44"/>
    </row>
    <row r="146" ht="15.75" customHeight="1">
      <c r="B146" s="188">
        <v>135.0</v>
      </c>
      <c r="C146" s="97" t="s">
        <v>887</v>
      </c>
      <c r="D146" s="6"/>
      <c r="E146" s="83"/>
      <c r="F146" s="16" t="s">
        <v>323</v>
      </c>
      <c r="G146" s="16"/>
      <c r="H146" s="16"/>
      <c r="I146" s="44"/>
    </row>
    <row r="147" ht="15.75" customHeight="1">
      <c r="B147" s="188">
        <v>136.0</v>
      </c>
      <c r="C147" s="97" t="s">
        <v>888</v>
      </c>
      <c r="D147" s="6"/>
      <c r="E147" s="83"/>
      <c r="F147" s="16" t="s">
        <v>323</v>
      </c>
      <c r="G147" s="16"/>
      <c r="H147" s="16"/>
      <c r="I147" s="44"/>
    </row>
    <row r="148" ht="15.75" customHeight="1">
      <c r="B148" s="188">
        <v>137.0</v>
      </c>
      <c r="C148" s="97" t="s">
        <v>889</v>
      </c>
      <c r="D148" s="6"/>
      <c r="E148" s="83"/>
      <c r="F148" s="16" t="s">
        <v>323</v>
      </c>
      <c r="G148" s="16"/>
      <c r="H148" s="16"/>
      <c r="I148" s="44"/>
    </row>
    <row r="149" ht="15.75" customHeight="1">
      <c r="B149" s="188">
        <v>138.0</v>
      </c>
      <c r="C149" s="97" t="s">
        <v>890</v>
      </c>
      <c r="D149" s="6"/>
      <c r="F149" s="16" t="s">
        <v>323</v>
      </c>
      <c r="G149" s="16"/>
      <c r="H149" s="16"/>
      <c r="I149" s="44"/>
    </row>
    <row r="150" ht="15.75" customHeight="1">
      <c r="B150" s="188">
        <v>139.0</v>
      </c>
      <c r="C150" s="97" t="s">
        <v>891</v>
      </c>
      <c r="D150" s="6"/>
      <c r="F150" s="16" t="s">
        <v>323</v>
      </c>
      <c r="G150" s="16"/>
      <c r="H150" s="16"/>
      <c r="I150" s="44"/>
    </row>
    <row r="151" ht="15.75" customHeight="1">
      <c r="B151" s="188">
        <v>140.0</v>
      </c>
      <c r="C151" s="97" t="s">
        <v>892</v>
      </c>
      <c r="D151" s="6"/>
      <c r="F151" s="16" t="s">
        <v>323</v>
      </c>
      <c r="G151" s="16"/>
      <c r="H151" s="16"/>
      <c r="I151" s="44"/>
    </row>
    <row r="152" ht="15.75" customHeight="1">
      <c r="B152" s="188">
        <v>141.0</v>
      </c>
      <c r="C152" s="97" t="s">
        <v>893</v>
      </c>
      <c r="D152" s="6"/>
      <c r="F152" s="16" t="s">
        <v>323</v>
      </c>
      <c r="G152" s="16"/>
      <c r="H152" s="16"/>
      <c r="I152" s="44"/>
    </row>
    <row r="153" ht="15.75" customHeight="1">
      <c r="B153" s="188">
        <v>142.0</v>
      </c>
      <c r="C153" s="97" t="s">
        <v>894</v>
      </c>
      <c r="D153" s="6"/>
      <c r="F153" s="16" t="s">
        <v>323</v>
      </c>
      <c r="G153" s="16"/>
      <c r="H153" s="16"/>
      <c r="I153" s="44"/>
    </row>
    <row r="154" ht="15.75" customHeight="1">
      <c r="B154" s="188">
        <v>143.0</v>
      </c>
      <c r="C154" s="97" t="s">
        <v>895</v>
      </c>
      <c r="D154" s="6"/>
      <c r="F154" s="16" t="s">
        <v>323</v>
      </c>
      <c r="G154" s="16"/>
      <c r="H154" s="16"/>
      <c r="I154" s="44"/>
    </row>
    <row r="155" ht="15.75" customHeight="1">
      <c r="B155" s="188">
        <v>144.0</v>
      </c>
      <c r="C155" s="97" t="s">
        <v>896</v>
      </c>
      <c r="D155" s="6"/>
      <c r="F155" s="16" t="s">
        <v>323</v>
      </c>
      <c r="G155" s="16"/>
      <c r="H155" s="16"/>
      <c r="I155" s="44"/>
    </row>
    <row r="156" ht="15.75" customHeight="1">
      <c r="B156" s="188">
        <v>145.0</v>
      </c>
      <c r="C156" s="97" t="s">
        <v>897</v>
      </c>
      <c r="D156" s="6"/>
      <c r="F156" s="16" t="s">
        <v>323</v>
      </c>
      <c r="G156" s="16"/>
      <c r="H156" s="16"/>
      <c r="I156" s="44"/>
    </row>
    <row r="157" ht="15.75" customHeight="1">
      <c r="B157" s="188">
        <v>146.0</v>
      </c>
      <c r="C157" s="97" t="s">
        <v>898</v>
      </c>
      <c r="D157" s="6"/>
      <c r="F157" s="16" t="s">
        <v>323</v>
      </c>
      <c r="G157" s="16"/>
      <c r="H157" s="16"/>
      <c r="I157" s="44"/>
    </row>
    <row r="158" ht="15.75" customHeight="1">
      <c r="B158" s="188">
        <v>147.0</v>
      </c>
      <c r="C158" s="97" t="s">
        <v>899</v>
      </c>
      <c r="D158" s="6"/>
      <c r="F158" s="16" t="s">
        <v>323</v>
      </c>
      <c r="G158" s="16"/>
      <c r="H158" s="16"/>
      <c r="I158" s="44"/>
    </row>
    <row r="159" ht="15.75" customHeight="1">
      <c r="B159" s="188">
        <v>148.0</v>
      </c>
      <c r="C159" s="97" t="s">
        <v>900</v>
      </c>
      <c r="D159" s="6"/>
      <c r="F159" s="16" t="s">
        <v>323</v>
      </c>
      <c r="G159" s="16"/>
      <c r="H159" s="16"/>
      <c r="I159" s="44"/>
    </row>
    <row r="160" ht="15.75" customHeight="1">
      <c r="B160" s="188">
        <v>149.0</v>
      </c>
      <c r="C160" s="97" t="s">
        <v>901</v>
      </c>
      <c r="D160" s="6"/>
      <c r="F160" s="16" t="s">
        <v>323</v>
      </c>
      <c r="G160" s="16"/>
      <c r="H160" s="16"/>
      <c r="I160" s="44"/>
    </row>
    <row r="161" ht="15.75" customHeight="1">
      <c r="B161" s="188">
        <v>150.0</v>
      </c>
      <c r="C161" s="97" t="s">
        <v>902</v>
      </c>
      <c r="D161" s="6"/>
      <c r="F161" s="16" t="s">
        <v>323</v>
      </c>
      <c r="G161" s="16"/>
      <c r="H161" s="16"/>
      <c r="I161" s="44"/>
    </row>
    <row r="162" ht="15.75" customHeight="1">
      <c r="B162" s="188">
        <v>151.0</v>
      </c>
      <c r="C162" s="97" t="s">
        <v>903</v>
      </c>
      <c r="D162" s="6"/>
      <c r="F162" s="16" t="s">
        <v>323</v>
      </c>
      <c r="G162" s="16"/>
      <c r="H162" s="16"/>
      <c r="I162" s="44"/>
    </row>
    <row r="163" ht="15.75" customHeight="1">
      <c r="B163" s="188">
        <v>152.0</v>
      </c>
      <c r="C163" s="97" t="s">
        <v>904</v>
      </c>
      <c r="D163" s="6"/>
      <c r="F163" s="16" t="s">
        <v>323</v>
      </c>
      <c r="G163" s="16"/>
      <c r="H163" s="16"/>
      <c r="I163" s="44"/>
    </row>
    <row r="164" ht="15.75" customHeight="1">
      <c r="B164" s="188">
        <v>153.0</v>
      </c>
      <c r="C164" s="97" t="s">
        <v>905</v>
      </c>
      <c r="D164" s="6"/>
      <c r="E164" s="83"/>
      <c r="F164" s="16" t="s">
        <v>323</v>
      </c>
      <c r="G164" s="16"/>
      <c r="H164" s="16"/>
      <c r="I164" s="44"/>
    </row>
    <row r="165" ht="15.75" customHeight="1">
      <c r="B165" s="188">
        <v>154.0</v>
      </c>
      <c r="C165" s="97" t="s">
        <v>906</v>
      </c>
      <c r="D165" s="6"/>
      <c r="E165" s="83"/>
      <c r="F165" s="16" t="s">
        <v>323</v>
      </c>
      <c r="G165" s="16"/>
      <c r="H165" s="16"/>
      <c r="I165" s="44"/>
    </row>
    <row r="166" ht="15.75" customHeight="1">
      <c r="B166" s="188">
        <v>155.0</v>
      </c>
      <c r="C166" s="97" t="s">
        <v>907</v>
      </c>
      <c r="D166" s="6"/>
      <c r="E166" s="83"/>
      <c r="F166" s="16" t="s">
        <v>323</v>
      </c>
      <c r="G166" s="16"/>
      <c r="H166" s="16"/>
      <c r="I166" s="44"/>
    </row>
    <row r="167" ht="15.75" customHeight="1">
      <c r="B167" s="188">
        <v>156.0</v>
      </c>
      <c r="C167" s="97" t="s">
        <v>908</v>
      </c>
      <c r="D167" s="6"/>
      <c r="E167" s="83"/>
      <c r="F167" s="16" t="s">
        <v>323</v>
      </c>
      <c r="G167" s="16"/>
      <c r="H167" s="16"/>
      <c r="I167" s="44"/>
    </row>
    <row r="168" ht="15.75" customHeight="1">
      <c r="B168" s="188">
        <v>157.0</v>
      </c>
      <c r="C168" s="97" t="s">
        <v>909</v>
      </c>
      <c r="D168" s="6"/>
      <c r="E168" s="83"/>
      <c r="F168" s="16" t="s">
        <v>323</v>
      </c>
      <c r="G168" s="16"/>
      <c r="H168" s="16"/>
      <c r="I168" s="44"/>
    </row>
    <row r="169" ht="15.75" customHeight="1">
      <c r="B169" s="188">
        <v>158.0</v>
      </c>
      <c r="C169" s="97" t="s">
        <v>910</v>
      </c>
      <c r="D169" s="6"/>
      <c r="F169" s="16" t="s">
        <v>323</v>
      </c>
      <c r="G169" s="16"/>
      <c r="H169" s="16"/>
      <c r="I169" s="44"/>
    </row>
    <row r="170" ht="15.75" customHeight="1">
      <c r="B170" s="188">
        <v>159.0</v>
      </c>
      <c r="C170" s="97" t="s">
        <v>911</v>
      </c>
      <c r="D170" s="6"/>
      <c r="F170" s="16" t="s">
        <v>323</v>
      </c>
      <c r="G170" s="16"/>
      <c r="H170" s="16"/>
      <c r="I170" s="44"/>
    </row>
    <row r="171" ht="15.75" customHeight="1">
      <c r="B171" s="188">
        <v>160.0</v>
      </c>
      <c r="C171" s="97" t="s">
        <v>912</v>
      </c>
      <c r="D171" s="6"/>
      <c r="F171" s="16" t="s">
        <v>323</v>
      </c>
      <c r="G171" s="16"/>
      <c r="H171" s="16"/>
      <c r="I171" s="44"/>
    </row>
    <row r="172" ht="15.75" customHeight="1">
      <c r="B172" s="188">
        <v>161.0</v>
      </c>
      <c r="C172" s="97" t="s">
        <v>913</v>
      </c>
      <c r="D172" s="6"/>
      <c r="F172" s="16" t="s">
        <v>323</v>
      </c>
      <c r="G172" s="16"/>
      <c r="H172" s="16"/>
      <c r="I172" s="44"/>
    </row>
    <row r="173" ht="15.75" customHeight="1">
      <c r="B173" s="188">
        <v>162.0</v>
      </c>
      <c r="C173" s="97" t="s">
        <v>914</v>
      </c>
      <c r="D173" s="6"/>
      <c r="F173" s="16" t="s">
        <v>323</v>
      </c>
      <c r="G173" s="16"/>
      <c r="H173" s="16"/>
      <c r="I173" s="44"/>
    </row>
    <row r="174" ht="15.75" customHeight="1">
      <c r="B174" s="188">
        <v>163.0</v>
      </c>
      <c r="C174" s="97" t="s">
        <v>915</v>
      </c>
      <c r="D174" s="6"/>
      <c r="F174" s="16" t="s">
        <v>323</v>
      </c>
      <c r="G174" s="16"/>
      <c r="H174" s="16"/>
      <c r="I174" s="44"/>
    </row>
    <row r="175" ht="15.75" customHeight="1">
      <c r="B175" s="188">
        <v>164.0</v>
      </c>
      <c r="C175" s="97" t="s">
        <v>916</v>
      </c>
      <c r="D175" s="6"/>
      <c r="F175" s="16" t="s">
        <v>323</v>
      </c>
      <c r="G175" s="16"/>
      <c r="H175" s="16"/>
      <c r="I175" s="44"/>
    </row>
    <row r="176" ht="15.75" customHeight="1">
      <c r="B176" s="188">
        <v>165.0</v>
      </c>
      <c r="C176" s="97" t="s">
        <v>917</v>
      </c>
      <c r="D176" s="6"/>
      <c r="F176" s="16" t="s">
        <v>323</v>
      </c>
      <c r="G176" s="16"/>
      <c r="H176" s="16"/>
      <c r="I176" s="44"/>
    </row>
    <row r="177" ht="15.75" customHeight="1">
      <c r="B177" s="188">
        <v>166.0</v>
      </c>
      <c r="C177" s="97" t="s">
        <v>918</v>
      </c>
      <c r="D177" s="6"/>
      <c r="F177" s="16" t="s">
        <v>323</v>
      </c>
      <c r="G177" s="16"/>
      <c r="H177" s="16"/>
      <c r="I177" s="44"/>
    </row>
    <row r="178" ht="15.75" customHeight="1">
      <c r="B178" s="188">
        <v>167.0</v>
      </c>
      <c r="C178" s="97" t="s">
        <v>919</v>
      </c>
      <c r="D178" s="6"/>
      <c r="F178" s="16" t="s">
        <v>323</v>
      </c>
      <c r="G178" s="16"/>
      <c r="H178" s="16"/>
      <c r="I178" s="44"/>
    </row>
    <row r="179" ht="15.75" customHeight="1">
      <c r="B179" s="188">
        <v>168.0</v>
      </c>
      <c r="C179" s="97" t="s">
        <v>920</v>
      </c>
      <c r="D179" s="6"/>
      <c r="F179" s="16" t="s">
        <v>323</v>
      </c>
      <c r="G179" s="16"/>
      <c r="H179" s="16"/>
      <c r="I179" s="44"/>
    </row>
    <row r="180" ht="15.75" customHeight="1">
      <c r="B180" s="188">
        <v>169.0</v>
      </c>
      <c r="C180" s="97" t="s">
        <v>921</v>
      </c>
      <c r="D180" s="6"/>
      <c r="F180" s="16" t="s">
        <v>323</v>
      </c>
      <c r="G180" s="16"/>
      <c r="H180" s="16"/>
      <c r="I180" s="44"/>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9">
    <mergeCell ref="B2:I2"/>
    <mergeCell ref="K2:L2"/>
    <mergeCell ref="C4:D4"/>
    <mergeCell ref="C5:D5"/>
    <mergeCell ref="C6:D6"/>
    <mergeCell ref="F9:H9"/>
    <mergeCell ref="I9:I10"/>
    <mergeCell ref="B7:C7"/>
    <mergeCell ref="B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7:D177"/>
    <mergeCell ref="C178:D178"/>
    <mergeCell ref="C179:D179"/>
    <mergeCell ref="C180:D180"/>
    <mergeCell ref="C170:D170"/>
    <mergeCell ref="C171:D171"/>
    <mergeCell ref="C172:D172"/>
    <mergeCell ref="C173:D173"/>
    <mergeCell ref="C174:D174"/>
    <mergeCell ref="C175:D175"/>
    <mergeCell ref="C176:D176"/>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2023-07-01T11:34:04Z</dcterms:created>
  <dc:creator>Andres</dc:creator>
</cp:coreProperties>
</file>